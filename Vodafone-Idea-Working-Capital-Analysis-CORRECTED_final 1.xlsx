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harts/chart1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rsh\Downloads\"/>
    </mc:Choice>
  </mc:AlternateContent>
  <xr:revisionPtr revIDLastSave="0" documentId="13_ncr:1_{5A413355-5F0E-49F1-80CD-D0F09D74C7D7}" xr6:coauthVersionLast="47" xr6:coauthVersionMax="47" xr10:uidLastSave="{00000000-0000-0000-0000-000000000000}"/>
  <bookViews>
    <workbookView xWindow="-108" yWindow="-108" windowWidth="23256" windowHeight="12456" tabRatio="500" activeTab="4" xr2:uid="{00000000-000D-0000-FFFF-FFFF00000000}"/>
  </bookViews>
  <sheets>
    <sheet name="Notes" sheetId="1" r:id="rId1"/>
    <sheet name="Charts" sheetId="2" r:id="rId2"/>
    <sheet name="Income Statement" sheetId="3" r:id="rId3"/>
    <sheet name="Working Capital" sheetId="4" r:id="rId4"/>
    <sheet name="Ratios" sheetId="5" r:id="rId5"/>
    <sheet name="Investment" sheetId="6" r:id="rId6"/>
    <sheet name="Investment Timeline" sheetId="7" r:id="rId7"/>
    <sheet name="Financing" sheetId="8" r:id="rId8"/>
    <sheet name="Findings" sheetId="9" r:id="rId9"/>
    <sheet name="Sheet1" sheetId="11" r:id="rId10"/>
    <sheet name="Sources" sheetId="10"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4" i="8" l="1"/>
  <c r="H19" i="8"/>
  <c r="G19" i="8"/>
  <c r="F19" i="8"/>
  <c r="E19" i="8"/>
  <c r="D19" i="8"/>
  <c r="C19" i="8"/>
  <c r="H18" i="8"/>
  <c r="G18" i="8"/>
  <c r="F18" i="8"/>
  <c r="E18" i="8"/>
  <c r="D18" i="8"/>
  <c r="C18" i="8"/>
  <c r="H10" i="8"/>
  <c r="G10" i="8"/>
  <c r="F10" i="8"/>
  <c r="E10" i="8"/>
  <c r="D10" i="8"/>
  <c r="C10" i="8"/>
  <c r="H9" i="8"/>
  <c r="G9" i="8"/>
  <c r="F9" i="8"/>
  <c r="E9" i="8"/>
  <c r="D9" i="8"/>
  <c r="C9" i="8"/>
  <c r="H8" i="8"/>
  <c r="G8" i="8"/>
  <c r="F8" i="8"/>
  <c r="E8" i="8"/>
  <c r="D8" i="8"/>
  <c r="C8" i="8"/>
  <c r="H40" i="6"/>
  <c r="G40" i="6"/>
  <c r="F40" i="6"/>
  <c r="E40" i="6"/>
  <c r="D40" i="6"/>
  <c r="C40" i="6"/>
  <c r="C39" i="6"/>
  <c r="H38" i="6"/>
  <c r="H39" i="6" s="1"/>
  <c r="G38" i="6"/>
  <c r="G39" i="6" s="1"/>
  <c r="F38" i="6"/>
  <c r="F39" i="6" s="1"/>
  <c r="E38" i="6"/>
  <c r="E39" i="6" s="1"/>
  <c r="D38" i="6"/>
  <c r="D39" i="6" s="1"/>
  <c r="H32" i="6"/>
  <c r="G32" i="6"/>
  <c r="F32" i="6"/>
  <c r="E32" i="6"/>
  <c r="D32" i="6"/>
  <c r="C32" i="6"/>
  <c r="H30" i="6"/>
  <c r="G30" i="6"/>
  <c r="F30" i="6"/>
  <c r="E30" i="6"/>
  <c r="D30" i="6"/>
  <c r="C30" i="6"/>
  <c r="H15" i="6"/>
  <c r="G15" i="6"/>
  <c r="F15" i="6"/>
  <c r="E15" i="6"/>
  <c r="D15" i="6"/>
  <c r="C15" i="6"/>
  <c r="C17" i="6" s="1"/>
  <c r="G11" i="6"/>
  <c r="F11" i="6"/>
  <c r="E11" i="6"/>
  <c r="D11" i="6"/>
  <c r="C11" i="6"/>
  <c r="H9" i="6"/>
  <c r="H7" i="6"/>
  <c r="G7" i="6"/>
  <c r="F7" i="6"/>
  <c r="E7" i="6"/>
  <c r="D7" i="6"/>
  <c r="C7" i="6"/>
  <c r="H30" i="5"/>
  <c r="G30" i="5"/>
  <c r="F30" i="5"/>
  <c r="E30" i="5"/>
  <c r="D30" i="5"/>
  <c r="C30" i="5"/>
  <c r="H28" i="5"/>
  <c r="H32" i="5" s="1"/>
  <c r="G28" i="5"/>
  <c r="G32" i="5" s="1"/>
  <c r="F28" i="5"/>
  <c r="F32" i="5" s="1"/>
  <c r="E28" i="5"/>
  <c r="E32" i="5" s="1"/>
  <c r="D28" i="5"/>
  <c r="D32" i="5" s="1"/>
  <c r="C28" i="5"/>
  <c r="C32" i="5" s="1"/>
  <c r="C22" i="5"/>
  <c r="H21" i="5"/>
  <c r="G21" i="5"/>
  <c r="F21" i="5"/>
  <c r="E21" i="5"/>
  <c r="D21" i="5"/>
  <c r="C21" i="5"/>
  <c r="C20" i="5"/>
  <c r="H19" i="5"/>
  <c r="G19" i="5"/>
  <c r="F19" i="5"/>
  <c r="E19" i="5"/>
  <c r="D19" i="5"/>
  <c r="C19" i="5"/>
  <c r="H18" i="5"/>
  <c r="G18" i="5"/>
  <c r="F18" i="5"/>
  <c r="E18" i="5"/>
  <c r="D18" i="5"/>
  <c r="C18" i="5"/>
  <c r="C15" i="5"/>
  <c r="H14" i="5"/>
  <c r="G14" i="5"/>
  <c r="F14" i="5"/>
  <c r="E14" i="5"/>
  <c r="D14" i="5"/>
  <c r="C14" i="5"/>
  <c r="H13" i="5"/>
  <c r="G13" i="5"/>
  <c r="F13" i="5"/>
  <c r="E13" i="5"/>
  <c r="D13" i="5"/>
  <c r="C13" i="5"/>
  <c r="H12" i="5"/>
  <c r="H15" i="5" s="1"/>
  <c r="G12" i="5"/>
  <c r="G15" i="5" s="1"/>
  <c r="F12" i="5"/>
  <c r="F15" i="5" s="1"/>
  <c r="E12" i="5"/>
  <c r="E15" i="5" s="1"/>
  <c r="D12" i="5"/>
  <c r="D15" i="5" s="1"/>
  <c r="C12" i="5"/>
  <c r="C9" i="5"/>
  <c r="C8" i="5"/>
  <c r="C7" i="5"/>
  <c r="C30" i="4"/>
  <c r="H29" i="4"/>
  <c r="G29" i="4"/>
  <c r="F29" i="4"/>
  <c r="E29" i="4"/>
  <c r="D29" i="4"/>
  <c r="C29" i="4"/>
  <c r="C46" i="6" s="1"/>
  <c r="C28" i="4"/>
  <c r="C27" i="4"/>
  <c r="C26" i="4"/>
  <c r="C21" i="4"/>
  <c r="H18" i="4"/>
  <c r="G18" i="4"/>
  <c r="F18" i="4"/>
  <c r="E18" i="4"/>
  <c r="D18" i="4"/>
  <c r="H12" i="4"/>
  <c r="G12" i="4"/>
  <c r="F12" i="4"/>
  <c r="E12" i="4"/>
  <c r="D12" i="4"/>
  <c r="H33" i="3"/>
  <c r="G33" i="3"/>
  <c r="F33" i="3"/>
  <c r="E33" i="3"/>
  <c r="D33" i="3"/>
  <c r="H31" i="3"/>
  <c r="G31" i="3"/>
  <c r="F31" i="3"/>
  <c r="E31" i="3"/>
  <c r="D31" i="3"/>
  <c r="D27" i="3"/>
  <c r="C27" i="3"/>
  <c r="H26" i="3"/>
  <c r="H27" i="3" s="1"/>
  <c r="G26" i="3"/>
  <c r="G27" i="3" s="1"/>
  <c r="F26" i="3"/>
  <c r="F27" i="3" s="1"/>
  <c r="E26" i="3"/>
  <c r="E27" i="3" s="1"/>
  <c r="D26" i="3"/>
  <c r="C26" i="3"/>
  <c r="H20" i="3"/>
  <c r="H19" i="3"/>
  <c r="G19" i="3"/>
  <c r="G20" i="3" s="1"/>
  <c r="F19" i="3"/>
  <c r="F20" i="3" s="1"/>
  <c r="E19" i="3"/>
  <c r="E20" i="3" s="1"/>
  <c r="D19" i="3"/>
  <c r="D20" i="3" s="1"/>
  <c r="C19" i="3"/>
  <c r="C20" i="3" s="1"/>
  <c r="H14" i="3"/>
  <c r="G14" i="3"/>
  <c r="F14" i="3"/>
  <c r="E14" i="3"/>
  <c r="D14" i="3"/>
  <c r="C14" i="3"/>
  <c r="H12" i="3"/>
  <c r="H31" i="5" s="1"/>
  <c r="G12" i="3"/>
  <c r="G31" i="5" s="1"/>
  <c r="F12" i="3"/>
  <c r="F31" i="5" s="1"/>
  <c r="E12" i="3"/>
  <c r="E31" i="5" s="1"/>
  <c r="D12" i="3"/>
  <c r="D31" i="5" s="1"/>
  <c r="C12" i="3"/>
  <c r="C31" i="5" s="1"/>
  <c r="H10" i="3"/>
  <c r="G10" i="3"/>
  <c r="F10" i="3"/>
  <c r="E10" i="3"/>
  <c r="D10" i="3"/>
  <c r="C10" i="3"/>
  <c r="H8" i="3"/>
  <c r="G8" i="3"/>
  <c r="F8" i="3"/>
  <c r="E8" i="3"/>
  <c r="D8" i="3"/>
  <c r="H17" i="6" l="1"/>
  <c r="H16" i="6"/>
  <c r="G17" i="6"/>
  <c r="G16" i="6"/>
  <c r="F17" i="6"/>
  <c r="F16" i="6"/>
  <c r="E16" i="6"/>
  <c r="E17" i="6"/>
  <c r="D17" i="6"/>
  <c r="D16" i="6"/>
  <c r="H11" i="6"/>
  <c r="H8" i="6"/>
  <c r="H47" i="6" s="1"/>
  <c r="G9" i="6"/>
  <c r="G8" i="6"/>
  <c r="G47" i="6" s="1"/>
  <c r="F8" i="6"/>
  <c r="F47" i="6" s="1"/>
  <c r="F9" i="6"/>
  <c r="E9" i="6"/>
  <c r="E8" i="6"/>
  <c r="E47" i="6" s="1"/>
  <c r="D8" i="6"/>
  <c r="D47" i="6" s="1"/>
  <c r="D9" i="6"/>
  <c r="C9" i="6"/>
  <c r="C8" i="6"/>
  <c r="C47" i="6" s="1"/>
  <c r="H30" i="4"/>
  <c r="H46" i="6"/>
  <c r="G46" i="6"/>
  <c r="G30" i="4"/>
  <c r="F46" i="6"/>
  <c r="F30" i="4"/>
  <c r="E30" i="4"/>
  <c r="E46" i="6"/>
  <c r="D46" i="6"/>
  <c r="D30" i="4"/>
  <c r="C45" i="6"/>
  <c r="C48" i="6" s="1"/>
  <c r="C29" i="5"/>
  <c r="C33" i="5" s="1"/>
  <c r="C34" i="5" s="1"/>
  <c r="C22" i="4"/>
  <c r="H26" i="4"/>
  <c r="H9" i="5"/>
  <c r="H22" i="5"/>
  <c r="H20" i="5"/>
  <c r="H8" i="5"/>
  <c r="H7" i="5"/>
  <c r="H27" i="4"/>
  <c r="G20" i="5"/>
  <c r="G26" i="4"/>
  <c r="G22" i="5"/>
  <c r="G7" i="5"/>
  <c r="G8" i="5"/>
  <c r="G9" i="5"/>
  <c r="G27" i="4"/>
  <c r="F8" i="5"/>
  <c r="F22" i="5"/>
  <c r="F9" i="5"/>
  <c r="F7" i="5"/>
  <c r="F27" i="4"/>
  <c r="F26" i="4"/>
  <c r="F20" i="5"/>
  <c r="E20" i="5"/>
  <c r="E27" i="4"/>
  <c r="E9" i="5"/>
  <c r="E26" i="4"/>
  <c r="E22" i="5"/>
  <c r="E8" i="5"/>
  <c r="E7" i="5"/>
  <c r="D27" i="4"/>
  <c r="D20" i="5"/>
  <c r="D22" i="5"/>
  <c r="D9" i="5"/>
  <c r="D7" i="5"/>
  <c r="D26" i="4"/>
  <c r="D8" i="5"/>
  <c r="H21" i="4"/>
  <c r="H28" i="4"/>
  <c r="G28" i="4"/>
  <c r="G21" i="4"/>
  <c r="F21" i="4"/>
  <c r="F28" i="4"/>
  <c r="E21" i="4"/>
  <c r="E28" i="4"/>
  <c r="D21" i="4"/>
  <c r="D28" i="4"/>
  <c r="H22" i="4" l="1"/>
  <c r="H23" i="4"/>
  <c r="H45" i="6"/>
  <c r="H48" i="6" s="1"/>
  <c r="H29" i="5"/>
  <c r="H33" i="5" s="1"/>
  <c r="H34" i="5" s="1"/>
  <c r="G23" i="4"/>
  <c r="G22" i="4"/>
  <c r="G29" i="5"/>
  <c r="G33" i="5" s="1"/>
  <c r="G34" i="5" s="1"/>
  <c r="G45" i="6"/>
  <c r="G48" i="6" s="1"/>
  <c r="F29" i="5"/>
  <c r="F33" i="5" s="1"/>
  <c r="F34" i="5" s="1"/>
  <c r="F23" i="4"/>
  <c r="F22" i="4"/>
  <c r="F45" i="6"/>
  <c r="F48" i="6" s="1"/>
  <c r="E45" i="6"/>
  <c r="E48" i="6" s="1"/>
  <c r="E29" i="5"/>
  <c r="E33" i="5" s="1"/>
  <c r="E34" i="5" s="1"/>
  <c r="E23" i="4"/>
  <c r="E22" i="4"/>
  <c r="D29" i="5"/>
  <c r="D33" i="5" s="1"/>
  <c r="D34" i="5" s="1"/>
  <c r="D22" i="4"/>
  <c r="D23" i="4"/>
  <c r="D45" i="6"/>
  <c r="D4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18" authorId="0" shapeId="0" xr:uid="{00000000-0006-0000-0200-000001000000}">
      <text>
        <r>
          <rPr>
            <sz val="10"/>
            <rFont val="Arial"/>
            <family val="2"/>
          </rPr>
          <t>Source: Vodafone Idea Q4 FY26 filing, 16-May-2026 (via ICICI Direct / Business Standard). Q4 exceptional gain from AGR liability reassessment = ₹57,491 cr; full-year figure balances to reported PAT of ₹34,552 cr.</t>
        </r>
      </text>
    </comment>
  </commentList>
</comments>
</file>

<file path=xl/sharedStrings.xml><?xml version="1.0" encoding="utf-8"?>
<sst xmlns="http://schemas.openxmlformats.org/spreadsheetml/2006/main" count="831" uniqueCount="629">
  <si>
    <t>VODAFONE IDEA LIMITED — WORKING CAPITAL DISTRESS ANALYSIS</t>
  </si>
  <si>
    <t>Financial journey FY2020-21 to FY2025-26, with Q1 FY2026-27 update  |  Figures corrected and re-sourced 16 September 2026 - see the Sources tab</t>
  </si>
  <si>
    <t>PURPOSE</t>
  </si>
  <si>
    <t>Objective</t>
  </si>
  <si>
    <t>Identify working-capital distress across a 5+ year financial journey and trace its impact on (a) working capital management, (b) investment decisions, and (c) financing decisions.</t>
  </si>
  <si>
    <t>Company</t>
  </si>
  <si>
    <t>Vodafone Idea Ltd (NSE: IDEA / BSE: 532822). Formed Aug-2018 from the merger of Vodafone India and Idea Cellular. India's third-largest wireless operator.</t>
  </si>
  <si>
    <t>Why this company</t>
  </si>
  <si>
    <t>A rare case where distress is legible: EBITDA margin above 40%, receivable days of 16, negligible inventory. The distress sits almost entirely on the CURRENT LIABILITY side and is statutory, not commercial, in origin. That isolates the transmission mechanism cleanly.</t>
  </si>
  <si>
    <t>HOW TO USE THIS WORKBOOK</t>
  </si>
  <si>
    <t>Colour convention</t>
  </si>
  <si>
    <t>BLUE text = hardcoded input (sourced data). BLACK text = formula computed on this sheet. GREEN text = link to another sheet. YELLOW fill = key assumption to review.</t>
  </si>
  <si>
    <t>Live model</t>
  </si>
  <si>
    <t>All ratios, totals and derived metrics are live formulas. Change any blue input and every dependent figure recalculates.</t>
  </si>
  <si>
    <t>Tabs</t>
  </si>
  <si>
    <t>Income Statement | Working Capital (the core decomposition) | Ratios (dashboard) | Investment | Investment Timeline (dated events with sources) | Financing | Findings | Sources (source register, by line item)</t>
  </si>
  <si>
    <t>DATA HEALTH WARNING — READ BEFORE CITING</t>
  </si>
  <si>
    <t>Source variance</t>
  </si>
  <si>
    <t>Reported figures for Vi differ across sources for three reasons: (1) standalone vs consolidated presentation (c.₹400-500 cr on revenue, ₹50-70 cr on PAT); (2) 'revenue from operations' vs 'total income'; (3) differing treatment of current maturities of long-term debt and lease liabilities inside current liabilities — which materially changes any computed working-capital figure.</t>
  </si>
  <si>
    <t>Definition used here</t>
  </si>
  <si>
    <t>Net Working Capital = Total Current Assets less Total Current Liabilities, INCLUDING current maturities of debt and statutory dues. Consolidated basis throughout.</t>
  </si>
  <si>
    <t>What changed</t>
  </si>
  <si>
    <t>This version replaces the earlier indicative reconstructions with published figures. Corrected: EBITDA, D&amp;A, finance cost (previously mis-aligned by one year), operating cash flow (previously understated by roughly half in FY21-FY24), capex, net worth FY26, every current asset and current liability line, total assets and liabilities, CWIP, shareholding by year, and ARPU FY26. Removed for lack of a source: Bharti Airtel capex FY21-FY25, revenue market share, forward spectrum instalments, FY24 bank debt.</t>
  </si>
  <si>
    <t>Remaining gaps</t>
  </si>
  <si>
    <t>FY21 current asset / liability components are not split in the sources used, so only the audited totals are entered and FY21 composition ratios read n/a. Four rows are deliberately blank and flagged in-cell; fill them from the FY26 annual report and TRAI reports before submission.</t>
  </si>
  <si>
    <t>KEY SOURCES</t>
  </si>
  <si>
    <t>Primary</t>
  </si>
  <si>
    <t>Vodafone Idea Ltd (NSE: IDEA / BSE: 532822) quarterly results releases, investor presentations and annual reports.</t>
  </si>
  <si>
    <t>Regulatory</t>
  </si>
  <si>
    <t>Supreme Court orders of 27-Oct-2025 and 03-Nov-2025 on AGR reassessment; DoT committee order, April 2026 (AGR cut of ₹23,649 cr).</t>
  </si>
  <si>
    <t>Market/press</t>
  </si>
  <si>
    <t>Screener.in (C-MOTS data), stockanalysis.com (S&amp;P Global Market Intelligence), Equitymaster annual report analyses, Business Standard, Zee Business, TelecomLead.</t>
  </si>
  <si>
    <t>Theory</t>
  </si>
  <si>
    <t>Myers (1977) debt overhang · Myers &amp; Majluf (1984) pecking order · Altman (1968, rev. 1993) Z-score.</t>
  </si>
  <si>
    <t>DISCLAIMER</t>
  </si>
  <si>
    <t>Academic case analysis prepared for educational purposes. Not investment advice and no recommendation regarding Vodafone Idea securities.</t>
  </si>
  <si>
    <t>Helper data for Chart 2 benchmark line (1.00x) — do not delete</t>
  </si>
  <si>
    <t>Chart Pack — Vodafone Idea Working Capital Distress Analysis</t>
  </si>
  <si>
    <t>All charts are native, live-linked Excel objects sourced directly from the Income Statement, Working Capital, Ratios, Investment and Financing tabs. Change any blue input on those tabs and every chart below updates automatically.</t>
  </si>
  <si>
    <t>Income Statement &amp; Cash Flow Summary</t>
  </si>
  <si>
    <t>Consolidated, ₹ crore. Blue = input, black = formula. FY26 net profit is inflated by a one-off AGR write-back.</t>
  </si>
  <si>
    <t>₹ crore (consolidated)</t>
  </si>
  <si>
    <t>FY21</t>
  </si>
  <si>
    <t>FY22</t>
  </si>
  <si>
    <t>FY23</t>
  </si>
  <si>
    <t>FY24</t>
  </si>
  <si>
    <t>FY25</t>
  </si>
  <si>
    <t>FY26</t>
  </si>
  <si>
    <t>OPERATING PERFORMANCE</t>
  </si>
  <si>
    <t>Revenue from operations</t>
  </si>
  <si>
    <t xml:space="preserve">  Growth (% YoY)</t>
  </si>
  <si>
    <t>EBITDA</t>
  </si>
  <si>
    <t>Consolidated operating profit, C-MOTS via Screener (NSE: IDEA). Company-reported EBITDA differs slightly on presentation: FY25 Rs 18,127 cr, FY26 Rs 19,003 cr.</t>
  </si>
  <si>
    <t xml:space="preserve">  EBITDA margin (%)</t>
  </si>
  <si>
    <t>Depreciation &amp; amortisation</t>
  </si>
  <si>
    <t>Consolidated D&amp;A, C-MOTS via Screener. Includes Ind AS 116 lease depreciation.</t>
  </si>
  <si>
    <t>EBIT</t>
  </si>
  <si>
    <t>Finance cost</t>
  </si>
  <si>
    <t>Consolidated finance cost, C-MOTS via Screener. Prior version had this row mis-aligned by one year.</t>
  </si>
  <si>
    <t>Interest coverage (EBITDA / finance cost)</t>
  </si>
  <si>
    <t>&lt;1.00x in EVERY year: operating profit never covered interest</t>
  </si>
  <si>
    <t>PROFITABILITY</t>
  </si>
  <si>
    <t>Loss before exceptional items</t>
  </si>
  <si>
    <t>FY26 pre-exceptional loss = sum of the four reported quarterly results less the Q4 exceptional gain.</t>
  </si>
  <si>
    <t>Exceptional items</t>
  </si>
  <si>
    <t>FY26: Rs 57,491 cr exceptional gain on DoT reassessment of AGR dues, recognised in Q4 FY26 (company results release, 16-May-2026). Reconciles -22,939 to reported PAT of 34,552.</t>
  </si>
  <si>
    <t>Net profit / (loss)</t>
  </si>
  <si>
    <t xml:space="preserve">  Net margin (%)</t>
  </si>
  <si>
    <t>Net worth (shareholders' funds)</t>
  </si>
  <si>
    <t>Equity capital + reserves per consolidated balance sheet. Negative throughout — technically insolvent on a book basis.</t>
  </si>
  <si>
    <t>CASH FLOW</t>
  </si>
  <si>
    <t>Cash flow from operations</t>
  </si>
  <si>
    <t>Audited consolidated cash flow statements. Prior version understated FY21-FY24 by roughly half.</t>
  </si>
  <si>
    <t>Capital expenditure</t>
  </si>
  <si>
    <t>Cash outflow on fixed assets per the consolidated cash flow statement (CFO less free cash flow, Screener). Company-disclosed capex is stated on a slightly different basis: FY26 Rs 8,742 cr.</t>
  </si>
  <si>
    <t>Free cash flow (CFO less capex)</t>
  </si>
  <si>
    <t>FCF less finance cost (true cash gap)</t>
  </si>
  <si>
    <t>The annual hole that had to be plugged by forbearance or new capital</t>
  </si>
  <si>
    <t>OPERATING DRIVERS</t>
  </si>
  <si>
    <t>Subscribers (million)</t>
  </si>
  <si>
    <t xml:space="preserve">  Net adds (million)</t>
  </si>
  <si>
    <t>ARPU (₹ per month)</t>
  </si>
  <si>
    <t>Q4 exit customer ARPU (ex-M2M) per quarterly results releases. Q1 FY27: Rs 195.</t>
  </si>
  <si>
    <t xml:space="preserve">  ARPU growth (%)</t>
  </si>
  <si>
    <t>Note: Q4 exit ARPU rose 78% (Rs 107 to Rs 190) and the EBITDA margin gained about 2 points across the period — yet solvency did not improve until liabilities were restructured.</t>
  </si>
  <si>
    <t>Working Capital Decomposition</t>
  </si>
  <si>
    <t>The central diagnostic. Negative working capital is NORMAL in prepaid telecom — the question is what makes it negative.</t>
  </si>
  <si>
    <t>CURRENT ASSETS</t>
  </si>
  <si>
    <t>Inventories</t>
  </si>
  <si>
    <t>Prior version overstated inventory 10x by reading Rs million as Rs crore.</t>
  </si>
  <si>
    <t>Trade receivables</t>
  </si>
  <si>
    <t>Cash &amp; cash equivalents</t>
  </si>
  <si>
    <t>Short-term investments</t>
  </si>
  <si>
    <t>Other current assets</t>
  </si>
  <si>
    <t>Other receivables + prepaid expenses + other current assets.</t>
  </si>
  <si>
    <t>Total current assets</t>
  </si>
  <si>
    <t>FY21 total is an audited aggregate (Rs 140,995 mn); the component split is not in the sources used, so FY21 composition ratios are marked n/a.</t>
  </si>
  <si>
    <t>CURRENT LIABILITIES</t>
  </si>
  <si>
    <t>Trade payables</t>
  </si>
  <si>
    <t>Trade payables only. The prior version bundled accruals and other items into this row, inflating DPO.</t>
  </si>
  <si>
    <t>Current maturities of debt &amp; statutory dues</t>
  </si>
  <si>
    <t>Short-term borrowings + current maturities of long-term debt + current lease liabilities. Peaks at 43% of current liabilities in FY22.</t>
  </si>
  <si>
    <t>Other current liabilities &amp; provisions</t>
  </si>
  <si>
    <t>Accrued expenses + current tax + unearned revenue + other current liabilities and provisions.</t>
  </si>
  <si>
    <t>Total current liabilities</t>
  </si>
  <si>
    <t>FY22 total was overstated by Rs 4,866 cr and FY26 by Rs 8,187 cr in the prior version.</t>
  </si>
  <si>
    <t>NET WORKING CAPITAL</t>
  </si>
  <si>
    <t>Net working capital (TCA less TCL)</t>
  </si>
  <si>
    <t>Negative in all six years</t>
  </si>
  <si>
    <t xml:space="preserve">  as % of revenue</t>
  </si>
  <si>
    <t xml:space="preserve">  YoY change in NWC</t>
  </si>
  <si>
    <t>Every improvement maps to a financing event, not an operating one.</t>
  </si>
  <si>
    <t>WHY IT IS NEGATIVE — COMPOSITION TEST</t>
  </si>
  <si>
    <t>Current maturities as % of total CL</t>
  </si>
  <si>
    <t>Statutory / debt maturities, not trade terms. Peak 43.1% of current liabilities (FY22).</t>
  </si>
  <si>
    <t>Trade payables as % of total CL</t>
  </si>
  <si>
    <t>Receivables as % of total CA</t>
  </si>
  <si>
    <t>Liquid assets (cash + ST inv.)</t>
  </si>
  <si>
    <t>Liquid assets as months of cash opex</t>
  </si>
  <si>
    <t>FY24: about 2.4 days of cash operating cost on hand.</t>
  </si>
  <si>
    <t>DIAGNOSIS</t>
  </si>
  <si>
    <t>- Receivables are NOT the problem - DSO fell from 23 days (FY22) to 16 days (FY26) as revenue rose. Prepaid customers pay before consuming service.</t>
  </si>
  <si>
    <t>- Inventory is NOT the problem - it never exceeds Rs 21 cr against Rs 44,873 cr of revenue.</t>
  </si>
  <si>
    <t>- The deficit is entirely liability-side, in two parts: (1) STATUTORY - current maturities of deferred spectrum, AGR dues and lease liabilities, at their FY22 peak 43% of all current liabilities; (2) COMMERCIAL BUT INVOLUNTARY - trade payable days of 213 in FY22, i.e. vendors paid roughly seven months late, easing to 124 days by FY26 as arrears were cleared.</t>
  </si>
  <si>
    <t>- Carrying payables at seven months is not working-capital management. It is the involuntary financing of an operating deficit by counterparties who cannot walk away. The unwind from 213 to 124 days tracks the equity conversions, not any negotiated change in trade terms.</t>
  </si>
  <si>
    <t>Liquidity, Efficiency &amp; Distress Ratios</t>
  </si>
  <si>
    <t>All cells are formulas linking to the Income Statement and Working Capital tabs (green = cross-sheet link).</t>
  </si>
  <si>
    <t>LIQUIDITY</t>
  </si>
  <si>
    <t>Current ratio</t>
  </si>
  <si>
    <t>Healthy benchmark 1.5-2.0x. Vi never exceeds 0.56x.</t>
  </si>
  <si>
    <t>Quick ratio</t>
  </si>
  <si>
    <t>Cash ratio</t>
  </si>
  <si>
    <t>WORKING CAPITAL EFFICIENCY</t>
  </si>
  <si>
    <t>Receivable days (DSO)</t>
  </si>
  <si>
    <t>Improving - asset side is efficient. FY21 debtor days were 22 per the FY21 annual report analysis.</t>
  </si>
  <si>
    <t>Inventory days (DIO)</t>
  </si>
  <si>
    <t>Payable days (DPO, on cash opex)</t>
  </si>
  <si>
    <t>Trade payable days: 213 in FY22 falling to 124 by FY26.</t>
  </si>
  <si>
    <t>Cash conversion cycle (DSO+DIO-DPO)</t>
  </si>
  <si>
    <t>Deeply negative throughout, but it reflects inability to pay rather than negotiated terms.</t>
  </si>
  <si>
    <t>SOLVENCY &amp; DISTRESS</t>
  </si>
  <si>
    <t>THE summary statistic: below 1.00x in all six years</t>
  </si>
  <si>
    <t>Cash interest gap (EBITDA less finance cost)</t>
  </si>
  <si>
    <t>EBITDA / current liabilities</t>
  </si>
  <si>
    <t>Net worth (₹ cr)</t>
  </si>
  <si>
    <t>Operating cash flow / current liabilities</t>
  </si>
  <si>
    <t>ALTMAN Z'' SCORE (non-manufacturer / emerging market)</t>
  </si>
  <si>
    <t>Z'' = 6.56·X1 + 3.26·X2 + 6.72·X3 + 1.05·X4</t>
  </si>
  <si>
    <t>Total assets (₹ cr)</t>
  </si>
  <si>
    <t>Consolidated total assets per published balance sheets (C-MOTS via Screener).</t>
  </si>
  <si>
    <t>Reserves &amp; surplus (accumulated deficit)</t>
  </si>
  <si>
    <t>Total reserves per the consolidated balance sheet, used as the X2 proxy. Note this is net of securities premium, so it is smaller than the pure accumulated loss.</t>
  </si>
  <si>
    <t>Total liabilities (₹ cr)</t>
  </si>
  <si>
    <t>Computed as total assets less net worth, so it always ties to the balance sheet.</t>
  </si>
  <si>
    <t>X1  Working capital / total assets</t>
  </si>
  <si>
    <t>X2  Retained earnings / total assets</t>
  </si>
  <si>
    <t>X3  EBIT / total assets</t>
  </si>
  <si>
    <t>X4  Book equity / total liabilities</t>
  </si>
  <si>
    <t>Z'' score</t>
  </si>
  <si>
    <t>Distress zone is below 1.10. Vi is deeply negative in every year.</t>
  </si>
  <si>
    <t>Zone</t>
  </si>
  <si>
    <t>The Z-score is almost uninformative here precisely BECAUSE it is so extreme. It assumes arm's-length creditors. Vi's largest creditor was also its regulator and eventually its largest shareholder — which is why a model that classified the firm as failed for six straight years never predicted its actual outcome.</t>
  </si>
  <si>
    <t>Impact on Investment Decisions</t>
  </si>
  <si>
    <t>Capital budgeting ceased to be an NPV exercise and became a cash-availability exercise.</t>
  </si>
  <si>
    <t>CAPITAL EXPENDITURE</t>
  </si>
  <si>
    <t>Capex (₹ cr)</t>
  </si>
  <si>
    <t>Capex as % of revenue</t>
  </si>
  <si>
    <t>Sustaining capex in telecom is typically 15-20% of revenue</t>
  </si>
  <si>
    <t>Capex as % of EBITDA</t>
  </si>
  <si>
    <t>Bharti Airtel consolidated capex (Rs cr)</t>
  </si>
  <si>
    <t>FY26 only: c.US$3.23bn reported for Bharti Airtel (NSE: BHARTIARTL), converted at Rs 87.6/US$. Earlier years removed - the prior figures were not sourced.</t>
  </si>
  <si>
    <t>Vi capex as % of Airtel capex</t>
  </si>
  <si>
    <t>FY26: Vi spent roughly 38% of Airtel consolidated capex while carrying about half its subscriber base.</t>
  </si>
  <si>
    <t>Capital work-in-progress (₹ cr)</t>
  </si>
  <si>
    <t>Frozen near Rs 18,200 cr FY23-FY25 - equipment procured but uncommissioned for want of funding - then drawn down in FY26.</t>
  </si>
  <si>
    <t>CONSEQUENCE — SUBSCRIBER &amp; SHARE EROSION</t>
  </si>
  <si>
    <t>Net adds (million)</t>
  </si>
  <si>
    <t>Cumulative subscribers lost vs FY21</t>
  </si>
  <si>
    <t>c.75 million subscribers lost across six years</t>
  </si>
  <si>
    <t>Revenue market share (%, approx)</t>
  </si>
  <si>
    <t>Row cleared: the prior figures were unsourced. Populate from TRAI Performance Indicator Reports (quarterly AGR / revenue market share tables).</t>
  </si>
  <si>
    <t>MECHANISM</t>
  </si>
  <si>
    <t>• CAPITAL BUDGETING SUSPENDED. Management guidance stated FY26 capex beyond a committed ₹5,000-6,000 cr was 'contingent on successful closure of a debt fundraise'. Projects were selected on whether cash existed in the month they fell due, not on return. The binding constraint moved from the hurdle rate to the cash balance.</t>
  </si>
  <si>
    <t>• PREDICTABLE PATHOLOGIES. Maintenance capex (no visible NPV, prevents degradation) deferred first. High-NPV expansion postponed because payback lies beyond the liquidity horizon. Sunk capital stranded as CWIP because the final tranche was unavailable. All three visible in the accounts.</t>
  </si>
  <si>
    <t>• THE 5G DECISION. Vi bought 5G spectrum in the 2022 auction — incurring the liability — then could not deploy. Jio and Airtel launched nationally through 2022-23; Vi began a selective rollout only in 2025. Three years of carrying cost on an unmonetisable asset while rivals took its highest-ARPU customers. Not recoverable.</t>
  </si>
  <si>
    <t>• DIVESTMENT AS LIQUIDITY. Progressive monetisation of the Indus Towers stake; fibre and data-centre assets repeatedly floated for sale. Each deal bought a quarter of liquidity and permanently reduced strategic optionality. Selling infrastructure to pay for infrastructure is value-destructive; Vi did it because the alternative was default.</t>
  </si>
  <si>
    <t>- DEBT OVERHANG (Myers 1977). With net worth at -Rs 1,04,167 cr in FY24, the entire value of any network upgrade would accrue to the Government and lenders; existing shareholders would capture nothing. Vodafone Group wrote its Indian investment to nil and declined further equity; the Birlas contributed only modestly. The underinvestment was the RATIONAL shareholder response to an overhang - which is why the fix had to come from the creditor side.</t>
  </si>
  <si>
    <t>- THE INFLECTION. Once the overhang eased: a Rs 45,000 cr three-year capex programme, a US$3.6bn vendor equipment arrangement, and in Q1 FY27 the FIRST NET SUBSCRIBER ADDITION SINCE THE 2018 MERGER (193.1mn, up from 192.8mn) with customer ARPU +10.2% YoY to Rs 195.</t>
  </si>
  <si>
    <t>INVESTMENT CASH FLOW &amp; ASSET BASE</t>
  </si>
  <si>
    <t>Cash flow from investing activities (Rs cr)</t>
  </si>
  <si>
    <t>Audited consolidated cash flow statements (C-MOTS via Screener). FY21 is the only positive year - proceeds from monetisation of the Indus Towers stake exceeded capital spending.</t>
  </si>
  <si>
    <t>Capex (cash purchase of fixed assets)</t>
  </si>
  <si>
    <t>Same figure as row 7. Repeated here so the investing cash flow can be read against it.</t>
  </si>
  <si>
    <t>Net fixed assets, closing (PP&amp;E + intangibles)</t>
  </si>
  <si>
    <t>Consolidated balance sheet, C-MOTS via Screener. Net of accumulated depreciation and amortisation.</t>
  </si>
  <si>
    <t xml:space="preserve">  YoY movement in net fixed assets</t>
  </si>
  <si>
    <t>Negative in FY22-FY24: depreciation exceeded additions, so the asset base was shrinking. Turns positive from FY25.</t>
  </si>
  <si>
    <t xml:space="preserve">  of which: net property, plant &amp; equipment</t>
  </si>
  <si>
    <t>S&amp;P Global Market Intelligence via stockanalysis.com. FY21 split not available in the sources used.</t>
  </si>
  <si>
    <t xml:space="preserve">  of which: other intangible assets (incl. spectrum)</t>
  </si>
  <si>
    <t>Falls every year from FY23: spectrum is amortised but little new spectrum was added after the 2022 auction.</t>
  </si>
  <si>
    <t>Gross additions per the PP&amp;E schedule</t>
  </si>
  <si>
    <t>n/a</t>
  </si>
  <si>
    <t>NOT AVAILABLE in the sources used. Disclosed only in the fixed-asset note of the statutory annual report. The capex row above (cash purchases) is the closest sourced proxy.</t>
  </si>
  <si>
    <t>CAPITAL WORK-IN-PROGRESS MOVEMENT (Rs cr)</t>
  </si>
  <si>
    <t>Opening CWIP</t>
  </si>
  <si>
    <t>FY21 opening is the 31-Mar-2020 closing balance of Rs 1,138 cr (Screener). Later years roll forward from the prior closing.</t>
  </si>
  <si>
    <t xml:space="preserve">  Net movement during the year</t>
  </si>
  <si>
    <t>The FY23 jump of +Rs 17,512 cr is equipment procured but not commissioned. FY24 +313 and FY25 +24 are effectively frozen. FY26 -2,939 is the first real drawdown as equipment was finally put into service.</t>
  </si>
  <si>
    <t>Closing CWIP</t>
  </si>
  <si>
    <t>Additions to CWIP during the year</t>
  </si>
  <si>
    <t>NOT AVAILABLE in the sources used. Gross CWIP additions and capitalisations appear only in the CWIP ageing note of the statutory annual report. Only opening, closing and the net movement can be sourced here.</t>
  </si>
  <si>
    <t>Capitalised / transferred to fixed assets</t>
  </si>
  <si>
    <t>Same limitation. Do not infer additions from the net movement - it nets capitalisations and write-offs.</t>
  </si>
  <si>
    <t>WORKING CAPITAL -&gt; INVESTMENT LINKAGE</t>
  </si>
  <si>
    <t>Net working capital (Rs cr)</t>
  </si>
  <si>
    <t>Liquid assets: cash + short-term investments</t>
  </si>
  <si>
    <t>Capex as % of net working capital deficit</t>
  </si>
  <si>
    <t>How large the year capital programme was relative to the hole in working capital. Below 15% for FY21-FY24.</t>
  </si>
  <si>
    <t>Evidence-based interpretation</t>
  </si>
  <si>
    <t>FY21: NWC -52,303 cr, the worst of the period. Capex 12.2% of revenue was funded not by operations but by selling the Indus Towers stake - the only year investing cash flow was positive.</t>
  </si>
  <si>
    <t>FY22: deficit still -44,299 cr. Liquid assets 1,459 cr, about three weeks of cash opex. Capex held at 15.6% of revenue; CWIP fell to 364 cr, so almost nothing was in the build pipeline.</t>
  </si>
  <si>
    <t>FY23: 5G spectrum bought for 18,799 cr in Aug-2022, but liquid assets were only 235 cr at year end. CWIP jumped to 17,876 cr - equipment procured, cash unavailable to commission it.</t>
  </si>
  <si>
    <t>FY24: the floor. Capex 1,530 cr, 3.6% of revenue, against a sustaining need nearer 15-20%. CWIP frozen at 18,189 cr. Liquid assets 169 cr, about 2.4 days of cash opex. Deferral is unambiguous.</t>
  </si>
  <si>
    <t>FY25: the break. FPO and preferential issues lifted liquid assets to 6,310 cr and the NWC deficit halved to -24,575 cr. Capex jumped 6.7x to 10,220 cr and 5G launched in Mumbai in Mar-2025.</t>
  </si>
  <si>
    <t>FY26: deficit narrows further to -17,813 cr after the equity conversion. Capex sustained at 10,814 cr, CWIP drawn down 2,939 cr as equipment was commissioned, 5G reached 83 cities.</t>
  </si>
  <si>
    <t>HOW CAPEX IS DEFINED IN THIS MODEL</t>
  </si>
  <si>
    <t>Definition used</t>
  </si>
  <si>
    <t>Capex = cash outflow on purchase of property, plant, equipment and intangible assets, as reported in the investing section of the consolidated cash flow statement. Derived as Cash from Operating Activity less Free Cash Flow from the Screener (C-MOTS) dataset, which computes free cash flow on exactly that basis.</t>
  </si>
  <si>
    <t>Why this basis</t>
  </si>
  <si>
    <t>It is the only capex measure that can be tied line-by-line to an audited statement for all six years. It is a cash measure, so it captures when money actually left the company - which is the point when the constraint is liquidity rather than accounting.</t>
  </si>
  <si>
    <t>What it includes</t>
  </si>
  <si>
    <t>Cash paid for network equipment, IT, and capitalised intangibles. It therefore includes cash paid in the year for assets sitting in CWIP and not yet commissioned.</t>
  </si>
  <si>
    <t>What it excludes</t>
  </si>
  <si>
    <t>Deferred spectrum obligations, which are recognised as a liability at acquisition rather than paid in cash - so the 18,799 cr of 2022 5G spectrum does NOT appear in the FY23 capex figure. Also excludes right-of-use asset additions under Ind AS 116, and equipment obtained under vendor credit until it is paid for.</t>
  </si>
  <si>
    <t>Difference vs company-disclosed capex</t>
  </si>
  <si>
    <t>The company discloses capex on a narrower definition in its investor presentations - Rs 8,742 cr for FY26 against Rs 10,814 cr here. The gap is mainly capitalised interest and timing. Both are stated; neither is estimated.</t>
  </si>
  <si>
    <t>Nothing is assumed</t>
  </si>
  <si>
    <t>Every figure in this tab is taken from a published statement or a company disclosure and carries a source on the Sources tab. Where a number could not be sourced - gross PP&amp;E additions, CWIP additions and capitalisations, Bharti Airtel capex before FY26, revenue market share - the cell reads n/a or is blank rather than estimated.</t>
  </si>
  <si>
    <t>INVESTMENT &amp; 5G ROLLOUT TIMELINE</t>
  </si>
  <si>
    <t>Vodafone Idea Ltd (NSE: IDEA / BSE: 532822). Every row carries a source. Amounts in Rs crore unless stated. Nothing on this sheet is estimated.</t>
  </si>
  <si>
    <t>Date</t>
  </si>
  <si>
    <t>FY</t>
  </si>
  <si>
    <t>Event</t>
  </si>
  <si>
    <t>Amount (Rs cr)</t>
  </si>
  <si>
    <t>Category</t>
  </si>
  <si>
    <t>What it evidences</t>
  </si>
  <si>
    <t>Source</t>
  </si>
  <si>
    <t>URL</t>
  </si>
  <si>
    <t>DISTRESS PHASE - FY21 to FY24</t>
  </si>
  <si>
    <t>Dec 2020 - Mar 2021</t>
  </si>
  <si>
    <t>Monetisation of the Indus Towers shareholding; gains supported the Q3 FY21 result</t>
  </si>
  <si>
    <t>see note</t>
  </si>
  <si>
    <t>Divestment</t>
  </si>
  <si>
    <t>Asset sale, not operations, funded the year. FY21 is the only year with positive investing cash flow (+1,075 cr).</t>
  </si>
  <si>
    <t>Business Standard, 14-Feb-2021</t>
  </si>
  <si>
    <t>https://www.business-standard.com/amp/article/companies/vodafone-idea-third-quarter-net-loss-narrows-to-rs-4532-crore-121021301519_1.html</t>
  </si>
  <si>
    <t>Mar 2021</t>
  </si>
  <si>
    <t>Spectrum auction - Vi acquired spectrum for Rs 1,993.40 cr</t>
  </si>
  <si>
    <t>Spectrum</t>
  </si>
  <si>
    <t>Smallest of the three operators by a wide margin: Jio Rs 57,123 cr, Airtel Rs 18,699 cr.</t>
  </si>
  <si>
    <t>Business Standard, 01-Aug-2022</t>
  </si>
  <si>
    <t>https://www.business-standard.com/article/companies/jio-bought-24-740-mhz-of-5g-spectrum-airtel-19-867-mhz-vaishnaw-122080101156_1.html</t>
  </si>
  <si>
    <t>Aug 2022</t>
  </si>
  <si>
    <t>First 5G auction - Vi acquired 3300 MHz in 17 circles and 26 GHz in 16 circles</t>
  </si>
  <si>
    <t>Liability incurred but not deployable. Jio and Airtel launched 5G within months; Vi took 31 months.</t>
  </si>
  <si>
    <t>CWIP rises from Rs 364 cr to Rs 17,876 cr</t>
  </si>
  <si>
    <t>Deferral</t>
  </si>
  <si>
    <t>Equipment procured but not commissioned. The single clearest balance-sheet marker of deferred investment.</t>
  </si>
  <si>
    <t>Screener consolidated balance sheet</t>
  </si>
  <si>
    <t>https://www.screener.in/company/IDEA/consolidated/</t>
  </si>
  <si>
    <t>Aug 2023</t>
  </si>
  <si>
    <t>Vi sought the 30-day grace period on a Rs 1,680 cr spectrum instalment due 17-Aug-2023</t>
  </si>
  <si>
    <t>Direct evidence that liquidity, not policy, set the investment pace. Paid with interest under the NIA grace terms.</t>
  </si>
  <si>
    <t>Business Standard / PTI, 16-Aug-2023</t>
  </si>
  <si>
    <t>https://www.business-standard.com/amp/companies/news/voda-idea-to-pay-rs-1-680-cr-auction-instalment-with-delay-of-30-days-123081600754_1.html</t>
  </si>
  <si>
    <t>Capex falls to Rs 1,530 cr, 3.6% of revenue; CWIP essentially unchanged at Rs 18,189 cr</t>
  </si>
  <si>
    <t>The low point. Sustaining capex in mobile is normally 15-20% of revenue.</t>
  </si>
  <si>
    <t>Screener cash flow and balance sheet</t>
  </si>
  <si>
    <t>2024</t>
  </si>
  <si>
    <t>FY24/25</t>
  </si>
  <si>
    <t>Overdue payments to tower and equipment vendors of about Rs 13,500 cr</t>
  </si>
  <si>
    <t>Vendors were financing the company involuntarily - the commercial half of the working capital deficit.</t>
  </si>
  <si>
    <t>SDxCentral, 23-Sep-2024</t>
  </si>
  <si>
    <t>https://www.sdxcentral.com/news/vodafone-idea-signs-36bn-network-equipment-deal-with-nokia-ericsson-and-samsung-in-india/</t>
  </si>
  <si>
    <t>RECOVERY PHASE - FY25 to Q1 FY27</t>
  </si>
  <si>
    <t>Apr-May 2024</t>
  </si>
  <si>
    <t>FPO and preferential issues raised about Rs 24,000 cr of equity</t>
  </si>
  <si>
    <t>Financing</t>
  </si>
  <si>
    <t>The liquidity event that unblocked capex. Vi stated capex was being funded from this raise.</t>
  </si>
  <si>
    <t>Mobile World Live, Sep-2024</t>
  </si>
  <si>
    <t>https://www.mobileworldlive.com/operators/vodafone-idea-strikes-3-6b-deal-with-vendor-giants/</t>
  </si>
  <si>
    <t>Jun 2024</t>
  </si>
  <si>
    <t>June 2024 auction - Vi acquired 30 MHz for Rs 3,510.40 cr</t>
  </si>
  <si>
    <t>Renewal of expiring 900/1800 MHz holdings rather than expansion.</t>
  </si>
  <si>
    <t>Outlook Business; DoT/PIB auction release</t>
  </si>
  <si>
    <t>https://www.outlookbusiness.com/corporate/vodafone-idea-gets-2683-cr-dot-notice-for-alleged-spectrum-rollout-lapse</t>
  </si>
  <si>
    <t>Equity issued to Nokia and Ericsson to settle overdue dues (1.5% and 0.9% stakes)</t>
  </si>
  <si>
    <t>Arrears settled in shares rather than cash - a distress mechanism, and dilution caused by deferred investment.</t>
  </si>
  <si>
    <t>22 Sep 2024</t>
  </si>
  <si>
    <t>Three-year network equipment contracts with Nokia, Ericsson and Samsung, US$3.6bn</t>
  </si>
  <si>
    <t>Capex programme</t>
  </si>
  <si>
    <t>First step of a three-year US$6.6bn (Rs 55,000 cr) plan: 4G coverage from 1.03bn to 1.2bn people, plus 5G launch.</t>
  </si>
  <si>
    <t>Business Standard, 23-Sep-2024</t>
  </si>
  <si>
    <t>https://www.business-standard.com/amp/markets/news/vodafone-idea-soars-8-on-rs-30k-cr-deal-with-nokia-ericsson-samsung-124092300170_1.html</t>
  </si>
  <si>
    <t>Dec 2024</t>
  </si>
  <si>
    <t>5G trials begin across 17 selected locations</t>
  </si>
  <si>
    <t>5G rollout</t>
  </si>
  <si>
    <t>Trials started only 28 months after the spectrum was bought.</t>
  </si>
  <si>
    <t>Outlook Business, Feb-2025</t>
  </si>
  <si>
    <t>https://www.outlookbusiness.com/corporate/vodafone-idea-starts-5g-trial-in-mumbai-heres-the-timeline-for-pan-india-launch</t>
  </si>
  <si>
    <t>Capex rises to Rs 10,220 cr; investing cash outflow Rs 16,248 cr, the largest of the period</t>
  </si>
  <si>
    <t>Recovery</t>
  </si>
  <si>
    <t>Capex up 6.7x on FY24, immediately after the equity raise. The linkage to liquidity is direct.</t>
  </si>
  <si>
    <t>Screener cash flow statement</t>
  </si>
  <si>
    <t>Mar 2025</t>
  </si>
  <si>
    <t>Commercial 5G launch in Mumbai - Vi becomes the third Indian operator to offer 5G</t>
  </si>
  <si>
    <t>31 months after acquiring the spectrum in Aug-2022.</t>
  </si>
  <si>
    <t>Outlook Business; company Q3 FY25 disclosure</t>
  </si>
  <si>
    <t>Apr-May 2025</t>
  </si>
  <si>
    <t>5G live in Chandigarh and Patna; Delhi-NCR on 15-May-2025</t>
  </si>
  <si>
    <t>Phased rollout targeted at the 17 priority circles where 5G spectrum was held.</t>
  </si>
  <si>
    <t>RCR Wireless, 19-May-2025</t>
  </si>
  <si>
    <t>https://rcrwireless.com/20250519/5g/vodafone-idea-5</t>
  </si>
  <si>
    <t>11 Jun 2025</t>
  </si>
  <si>
    <t>5G launched in Bengaluru</t>
  </si>
  <si>
    <t>Fifth city. Target was all 17 priority circles by August 2025.</t>
  </si>
  <si>
    <t>Business Standard, 11-Jun-2025</t>
  </si>
  <si>
    <t>https://www.business-standard.com/amp/markets/news/vodafone-idea-share-price-rises-after-company-launches-5g-in-bengaluru-125061100236_1.html</t>
  </si>
  <si>
    <t>5G launched across 83 cities; 4G coverage extended by 48mn people to above 86% of population</t>
  </si>
  <si>
    <t>More than 17,300 broadband towers added, taking the total to 202,008.</t>
  </si>
  <si>
    <t>Zee Business / company FY26 results, 16-May-2026</t>
  </si>
  <si>
    <t>https://www.zeebiz.com/companies/news-vodafone-idea-q4-results-vi-posts-rs-51970-crore-profit-on-one-time-agr-gain-arpu-rises-to-rs-190-395649</t>
  </si>
  <si>
    <t>Company-disclosed capex of Rs 8,742 cr (Rs 10,814 cr on the cash flow statement basis used here)</t>
  </si>
  <si>
    <t>Second consecutive year of sustained investment, funded alongside the AGR reassessment and equity conversion.</t>
  </si>
  <si>
    <t>Kotak Neo / company FY26 results</t>
  </si>
  <si>
    <t>https://www.kotakneo.com/news/market-news/vodafone-idea-q4fy26-profit-agr-gain-results/</t>
  </si>
  <si>
    <t>16 May 2026</t>
  </si>
  <si>
    <t>Three-year capex programme of Rs 45,000 cr announced, stepping up from Q1 FY27</t>
  </si>
  <si>
    <t>Alongside targets of sustained net customer additions, double-digit revenue growth and tripling EBITDA.</t>
  </si>
  <si>
    <t>Quartr / Q4 FY26 earnings call</t>
  </si>
  <si>
    <t>https://quartr.com/events/vodafone-idea-limited-idea-q4-25-26_FsFsOFAe</t>
  </si>
  <si>
    <t>Q1 FY27</t>
  </si>
  <si>
    <t>FY27</t>
  </si>
  <si>
    <t>Capex of Rs 1,930 cr; orders worth Rs 9,000 cr placed to date; 5G live in over 200 cities</t>
  </si>
  <si>
    <t>Deployment described as muted on supply-chain constraints. First net subscriber addition since the 2018 merger.</t>
  </si>
  <si>
    <t>TelecomLead / company Q1 FY27 presentation, 15-Sep-2026</t>
  </si>
  <si>
    <t>https://telecomlead.com/4g-lte/vodafone-idea-q1-fy27-revenue-hits-rs-11689-cr-arpu-rs-195-as-5g-expands-to-200-cities-127199</t>
  </si>
  <si>
    <t>NOT SOURCED - DO NOT FILL IN WITHOUT A CITATION</t>
  </si>
  <si>
    <t>Gross additions and capitalisations within CWIP by year - available only in the CWIP ageing note of the statutory annual report.</t>
  </si>
  <si>
    <t>Gross additions per the property, plant and equipment schedule - fixed-asset note of the statutory annual report.</t>
  </si>
  <si>
    <t>Year-by-year Bharti Airtel capex before FY26 - Bharti Airtel (NSE: BHARTIARTL) annual reports.</t>
  </si>
  <si>
    <t>Revenue market share by year - TRAI Performance Indicator Reports.</t>
  </si>
  <si>
    <t>Impact on Financing Decisions</t>
  </si>
  <si>
    <t>Distress removed the ability to CHOOSE a capital structure. Financing became an outcome, not a decision.</t>
  </si>
  <si>
    <t>CAPITAL STRUCTURE</t>
  </si>
  <si>
    <t>Equity share capital (₹ cr, FV ₹10)</t>
  </si>
  <si>
    <t>3.8x expansion, almost all issued at or near ₹10 face value</t>
  </si>
  <si>
    <t xml:space="preserve">  Shares outstanding (crore)</t>
  </si>
  <si>
    <t xml:space="preserve">  Dilution vs FY21 (x)</t>
  </si>
  <si>
    <t>Funded bank debt (₹ cr)</t>
  </si>
  <si>
    <t>Debt from banks and financial institutions per quarterly results. FY24 cleared - not separately disclosed at 31-Mar-2024. Rs 211 cr at 30-Jun-2026. Lenders did not merely decline new exposure, they exited.</t>
  </si>
  <si>
    <t>AGR dues per DoT reassessment (Rs cr)</t>
  </si>
  <si>
    <t>Finalised by the DoT committee for FY07-FY19 and communicated to the company on 30-Apr-2026, down from Rs 87,695 cr. Total government payment obligations including deferred spectrum are in the FY26 annual report.</t>
  </si>
  <si>
    <t>SHAREHOLDING — CREDITOR BECAME OWNER (%)</t>
  </si>
  <si>
    <t>Government of India</t>
  </si>
  <si>
    <t>At 31 March each year. The prior version put the 48.99% conversion in FY25 - the shares were allotted in Q1 FY26, so GoI was 22.63% at 31-Mar-2025 and 49.02% at 31-Mar-2026.</t>
  </si>
  <si>
    <t>Promoter group (Vodafone Group + Aditya Birla Group)</t>
  </si>
  <si>
    <t>Combined promoter holding. The Vodafone / Birla split by year is not in the source used; Vodafone Group reported 24.4% at 31-Mar-2025.</t>
  </si>
  <si>
    <t>Institutional (FII + DII)</t>
  </si>
  <si>
    <t>Public &amp; others</t>
  </si>
  <si>
    <t>Check — total</t>
  </si>
  <si>
    <t>MANDATORY OUTFLOWS vs CAPACITY (₹ cr)</t>
  </si>
  <si>
    <t>Forward spectrum obligations</t>
  </si>
  <si>
    <t>FY28</t>
  </si>
  <si>
    <t>FY29</t>
  </si>
  <si>
    <t>FY26 CFO</t>
  </si>
  <si>
    <t xml:space="preserve">  Spectrum payable</t>
  </si>
  <si>
    <t>Forward spectrum instalments cleared: the prior figures were unsourced. Populate from the contractual maturities note of the FY26 annual report, then compare against FY26 CFO of Rs 19,411 cr.</t>
  </si>
  <si>
    <t>• THE PECKING ORDER RAN BACKWARDS. Myers &amp; Majluf predict internal funds, then debt, then equity last. Vi inverted it completely. Internal accruals: unavailable (CFO of ₹8-9k cr against statutory obligations near ₹18k cr and finance cost above ₹20k cr). Debt: refused — bank exposure CUT from ₹7,620 cr to ₹726 cr, covenants breached as early as FY21, waivers sought, extra security demanded, SBI's own share price dragged by its ₹11,000 cr exposure. Equity: the only door left.</t>
  </si>
  <si>
    <t>• DILUTION SEQUENCE. Feb-2023: ₹16,133 cr of interest converted to equity (GoI to 33.1%). Apr-2024: ₹18,000 cr FPO at ₹11/share — the largest FPO in Indian history — plus ₹2,075 cr preferential to ABG. Mar/Apr-2025: ₹36,950 cr spectrum dues converted at ₹10/share (GoI to 48.99%). Share capital from ₹28,735 cr to ₹1,08,343 cr.</t>
  </si>
  <si>
    <t>- GOVERNANCE WITHOUT AN ANALOGUE. The Government of India is simultaneously the largest shareholder (49.02% at 31-Mar-2026), a very large creditor, the regulator, and the licence-fee beneficiary. The Supreme Court itself noted that the Government's shareholding gave it a direct stake in the company's survival.</t>
  </si>
  <si>
    <t>• THE 49% CEILING IS DELIBERATE. Crossing 50% would classify Vi as a PSU — triggering an open offer under SEBI's takeover code, sovereign responsibility for losses, and public-procurement obligations. The Government has signalled it will not go further. This CLOSES the mechanism that twice rescued the company.</t>
  </si>
  <si>
    <t>• TERMS REVEAL WHO HOLDS POWER. The Sep-2026 SBI-led package (SBI, Union Bank, NaBFID; c.US$3.5bn, near ten-year tenure) requires that Kumar Mangalam Birla REMAIN CHAIRMAN for the life of the loan and that promoter entities furnish repayment guarantees on default. A solvent borrower concedes neither. Lenders are contracting around the promoter's reputation and personal balance sheet because they do not trust the company's. Control rights migrated to creditors while legal ownership did not change.</t>
  </si>
  <si>
    <t>• COORDINATION FAILURE. SBI's approval was made conditional on private-sector banks committing first, which has held up disbursement — the classic distressed-syndication problem where no lender will move first and the state-owned bank will not carry the risk alone.</t>
  </si>
  <si>
    <t>• SUBSTITUTES USED WHILE CREDIT WAS CLOSED. (a) Vendor financing — the c.₹30,000 cr equipment arrangement is supplier credit replacing bank credit, at a cost buried in equipment pricing. (b) Non-bank sources in small tranches purely to maintain capex continuity. (c) Government forbearance — the 2021 four-year moratorium was economically a large sovereign loan with no covenants and no security, and the only reason Vi stayed solvent through FY22-FY25.</t>
  </si>
  <si>
    <t>Findings, Timeline &amp; Conclusions</t>
  </si>
  <si>
    <t>Vodafone Idea Ltd — FY2021 to FY2026</t>
  </si>
  <si>
    <t>TIMELINE OF DISTRESS</t>
  </si>
  <si>
    <t>Oct 2019</t>
  </si>
  <si>
    <t>Supreme Court upholds DoT's AGR definition. Vi provisions c.₹44,000 cr. A regulatory dispute becomes a balance-sheet event.</t>
  </si>
  <si>
    <t>Sep 2021</t>
  </si>
  <si>
    <t>Telecom reform package: four-year moratorium on AGR and spectrum dues, plus an option to convert accrued interest into equity. Defers the problem rather than solving it.</t>
  </si>
  <si>
    <t>Feb 2023</t>
  </si>
  <si>
    <t>₹16,133 cr of interest converted to equity. Government becomes largest shareholder at 33.1%. Banks still refuse fresh credit.</t>
  </si>
  <si>
    <t>Apr 2024</t>
  </si>
  <si>
    <t>₹18,000 cr FPO at ₹11/share — largest in Indian history — plus ₹2,075 cr preferential allotment to the Aditya Birla Group.</t>
  </si>
  <si>
    <t>Mar-Apr 2025</t>
  </si>
  <si>
    <t>Rs 36,950 cr of spectrum dues agreed for conversion at Rs 10/share. Shares allotted in Q1 FY26, taking the Government to 49.02% and capping it below 50% to avoid PSU classification.</t>
  </si>
  <si>
    <t>Oct-Nov 2025</t>
  </si>
  <si>
    <t>Supreme Court permits the Centre to reconsider Vi's AGR dues, then widens the order to comprehensive reassessment up to FY17. Recovery of ₹87,695 cr frozen.</t>
  </si>
  <si>
    <t>Jan-Apr 2026</t>
  </si>
  <si>
    <t>DoT committee (incl. a CAG representative) reassesses. AGR dues cut ₹23,649 cr (c.27%) to ₹64,046 cr, repayment stretched to FY41.</t>
  </si>
  <si>
    <t>May 2026</t>
  </si>
  <si>
    <t>FY26 results: Rs 34,552 cr net profit on a Rs 57,491 cr exceptional AGR write-back. Pre-exceptional loss still Rs 22,939 cr.</t>
  </si>
  <si>
    <t>Aug-Sep 2026</t>
  </si>
  <si>
    <t>SBI in-principle approval for its share of a ₹45,000 cr capex facility; SBI-led consortium lines up c.US$3.5bn over c.10 years, conditional on Birla remaining chairman and promoter guarantees.</t>
  </si>
  <si>
    <t>THE DISTRESS LOOP</t>
  </si>
  <si>
    <t>Operating loop</t>
  </si>
  <si>
    <t>Working capital deficit -&gt; capex starvation (Rs 1,530 cr in FY24) -&gt; network falls behind (no 5G, weak 4G) -&gt; subscriber and ARPU loss (268mn -&gt; 193mn) -&gt; weaker cash flow -&gt; deeper working capital deficit.</t>
  </si>
  <si>
    <t>Financing loop</t>
  </si>
  <si>
    <t>Working capital deficit destroys creditworthiness → debt foreclosed → forced dilutive equity → promoters diluted to the point they will not fund the next round → absence of promoter support itself cited by lenders as reason to refuse credit. Vi went round this loop twice.</t>
  </si>
  <si>
    <t>Where it broke</t>
  </si>
  <si>
    <t>NOT at the operating node. Tariff hikes raised Q4 exit ARPU 78% between FY21 and FY26 and still could not break the cycle, because the constraint was never revenue. It broke at the LIABILITY node: Rs 53,000 cr converted to equity plus Rs 23,649 cr written off.</t>
  </si>
  <si>
    <t>RESOLVED IN FY26</t>
  </si>
  <si>
    <t>AGR liability</t>
  </si>
  <si>
    <t>Cut ₹23,649 cr to ₹64,046 cr. Repayment stretched: token amounts to FY31, minimum ₹100 cr annually to FY35, then six instalments of ₹10,608 cr between Mar-2036 and Mar-2041.</t>
  </si>
  <si>
    <t>Net worth</t>
  </si>
  <si>
    <t>Improved from -Rs 70,320 cr to -Rs 35,758 cr.</t>
  </si>
  <si>
    <t>Cash generation</t>
  </si>
  <si>
    <t>Operating cash flow more than doubled to ₹19,411 cr (+109%).</t>
  </si>
  <si>
    <t>Bank position</t>
  </si>
  <si>
    <t>Funded bank debt down to ₹726 cr; ₹6,400 cr of new long-term facilities secured in Q1 FY27.</t>
  </si>
  <si>
    <t>Commercial</t>
  </si>
  <si>
    <t>First net subscriber addition since the 2018 merger. ARPU ₹195, up 10.2% YoY.</t>
  </si>
  <si>
    <t>STILL UNRESOLVED</t>
  </si>
  <si>
    <t>Still insolvent</t>
  </si>
  <si>
    <t>Net worth remains negative at -Rs 35,758 cr - technically insolvent on a book basis.</t>
  </si>
  <si>
    <t>The FY29 cliff</t>
  </si>
  <si>
    <t>Large deferred spectrum instalments fall due from FY27 onwards against operating cash flow near Rs 19,000 cr. Quantify from the FY26 annual report before citing - see the Financing tab.</t>
  </si>
  <si>
    <t>Facility undisbursed</t>
  </si>
  <si>
    <t>The US$3.5bn package awaits final lender approvals, documentation, promoter guarantees and private-bank participation.</t>
  </si>
  <si>
    <t>Conversion route closed</t>
  </si>
  <si>
    <t>The equity-conversion mechanism is capped at the 49% ceiling.</t>
  </si>
  <si>
    <t>Competitive gap</t>
  </si>
  <si>
    <t>Under 20% revenue market share against two rivals investing at multiples of Vi's rate. ₹45,000 cr over three years remains below what Jio and Airtel each spend annually.</t>
  </si>
  <si>
    <t>Liquidity slipped</t>
  </si>
  <si>
    <t>Current ratio improved from 0.24x in FY24 to 0.56x in FY25 and held at 0.55x in FY26, still far below 1.0x.</t>
  </si>
  <si>
    <t>CONCLUSIONS</t>
  </si>
  <si>
    <t>1. Decompose, don't read</t>
  </si>
  <si>
    <t>A negative working-capital figure carries no information alone. Vi and Bharti Airtel both report negative working capital; one is a competitive advantage from prepaid collections, the other is deferred insolvency. Vi's decomposition shows receivables and inventory performing well while statutory maturities and involuntarily stretched payables drive the entire deficit.</t>
  </si>
  <si>
    <t>2. It does not stay put</t>
  </si>
  <si>
    <t>Working-capital distress converts capital budgeting from an NPV exercise into a cash-availability exercise, and the resulting underinvestment compounds. Three years of deferred 5G cost a subscriber base that cannot simply be bought back.</t>
  </si>
  <si>
    <t>3. Choice dies before access</t>
  </si>
  <si>
    <t>Vi did not choose a capital structure between FY21 and FY26; it accepted whatever remained, in reverse pecking order, at terms — promoter guarantees, chairman-continuity covenants — no solvent borrower would sign.</t>
  </si>
  <si>
    <t>4. Models assume arm's-length creditors</t>
  </si>
  <si>
    <t>Altman's Z-score classified Vi as failed for six consecutive years. It survived because its principal creditor had reasons beyond recovery to keep it alive: maintaining three-player competition, protecting public-sector bank exposure, and defending its own 49% stake.</t>
  </si>
  <si>
    <t>5. THE CENTRAL FINDING</t>
  </si>
  <si>
    <t>Operating improvement is NOT a sufficient remedy for balance-sheet distress. Vi raised ARPU 68%, expanded margins four points and doubled operating cash flow — and none of it altered the trajectory until ₹53,000 cr of liabilities were converted and ₹23,649 cr written off. Liability restructuring and operating turnaround are COMPLEMENTS, not substitutes. Attempting the second without the first simply funds the creditors.</t>
  </si>
  <si>
    <t>SOURCE REGISTER</t>
  </si>
  <si>
    <t>Vodafone Idea Ltd  |  Ticker: NSE: IDEA  |  BSE: 532822  |  ISIN INE669E01016  |  Bloomberg IDEA:IN  |  Reuters VODA.NS  |  Yahoo IDEA.NS</t>
  </si>
  <si>
    <t>Peer referenced: Bharti Airtel Ltd (NSE: BHARTIARTL / BSE: 532454).   All figures consolidated, Rs crore, unless stated.</t>
  </si>
  <si>
    <t>#</t>
  </si>
  <si>
    <t>Line item / tab</t>
  </si>
  <si>
    <t>FY covered</t>
  </si>
  <si>
    <t>Value used</t>
  </si>
  <si>
    <t>Basis &amp; notes</t>
  </si>
  <si>
    <t>INCOME STATEMENT</t>
  </si>
  <si>
    <t>FY21-FY26</t>
  </si>
  <si>
    <t>41,952 / 38,516 / 42,177 / 42,652 / 43,572 / 44,873</t>
  </si>
  <si>
    <t>Screener (C-MOTS), consolidated P&amp;L</t>
  </si>
  <si>
    <t>Unchanged - already matched the filings.</t>
  </si>
  <si>
    <t>16,946 / 15,968 / 16,753 / 17,072 / 18,048 / 18,859</t>
  </si>
  <si>
    <t>Screener (C-MOTS), operating profit</t>
  </si>
  <si>
    <t>CORRECTED. One consistent basis across all six years. Company-reported EBITDA is Rs 18,127 cr (FY25) and Rs 19,003 cr (FY26).</t>
  </si>
  <si>
    <t>23,638 / 23,584 / 23,050 / 22,634 / 21,973 / 22,108</t>
  </si>
  <si>
    <t>Screener (C-MOTS)</t>
  </si>
  <si>
    <t>CORRECTED FY24 and FY26. Includes Ind AS 116 lease depreciation.</t>
  </si>
  <si>
    <t>17,998 / 20,981 / 23,354 / 25,766 / 24,543 / 21,495</t>
  </si>
  <si>
    <t>CORRECTED. The prior row was mis-aligned by one year from FY22 onward.</t>
  </si>
  <si>
    <t>-44,233 / -28,245 / -29,301 / -31,238 / -27,384 / 34,552</t>
  </si>
  <si>
    <t>Screener (C-MOTS); company results release 16-May-2026</t>
  </si>
  <si>
    <t>Unchanged. FY26 split re-derived: pre-exceptional -22,939 plus exceptional +57,491.</t>
  </si>
  <si>
    <t>FY26 exceptional gain</t>
  </si>
  <si>
    <t>57,491</t>
  </si>
  <si>
    <t>Company Q4 FY26 results release, 16-May-2026</t>
  </si>
  <si>
    <t>Gain on DoT reassessment of AGR dues, recognised in Q4 FY26.</t>
  </si>
  <si>
    <t>-38,228 / -61,965 / -74,359 / -1,04,167 / -70,320 / -35,758</t>
  </si>
  <si>
    <t>Screener (C-MOTS): equity capital + reserves</t>
  </si>
  <si>
    <t>CORRECTED FY26 (was -35,363).</t>
  </si>
  <si>
    <t>15,640 / 17,387 / 18,869 / 20,826 / 9,290 / 19,411</t>
  </si>
  <si>
    <t>Screener (C-MOTS), audited cash flow statements; FY21-FY22 cross-checked to Equitymaster</t>
  </si>
  <si>
    <t>CORRECTED. The prior row understated FY21-FY24 by roughly half.</t>
  </si>
  <si>
    <t>5,106 / 5,992 / 5,537 / 1,530 / 10,220 / 10,814</t>
  </si>
  <si>
    <t>Screener (C-MOTS): CFO less free cash flow</t>
  </si>
  <si>
    <t>CORRECTED. Cash-flow-statement basis. Company-disclosed FY26 capex is Rs 8,742 cr on a narrower definition.</t>
  </si>
  <si>
    <t>267.8 / 243.8 / 225.9 / 212.6 / 198.2 / 192.8</t>
  </si>
  <si>
    <t>Quarterly results releases; FY21 Q4 concall transcript</t>
  </si>
  <si>
    <t>Unchanged - verified. Q1 FY27: 193.1mn, the first net addition since the merger.</t>
  </si>
  <si>
    <t>https://alphastreet.com/india/vodafone-idea-ltd-idea-q4-fy21-earnings-concall-transcript/</t>
  </si>
  <si>
    <t>ARPU (Q4 exit, ex-M2M)</t>
  </si>
  <si>
    <t>107 / 124 / 135 / 146 / 175 / 190</t>
  </si>
  <si>
    <t>Quarterly results releases</t>
  </si>
  <si>
    <t>CORRECTED FY26 (was 180, which is the Q2 FY26 figure). Q1 FY27: Rs 195.</t>
  </si>
  <si>
    <t>WORKING CAPITAL</t>
  </si>
  <si>
    <t>All current asset lines</t>
  </si>
  <si>
    <t>FY22-FY26</t>
  </si>
  <si>
    <t>See tab</t>
  </si>
  <si>
    <t>S&amp;P Global Market Intelligence via stockanalysis.com</t>
  </si>
  <si>
    <t>CORRECTED throughout. Source reports Rs million; the prior version read inventory as Rs crore, overstating it 10x.</t>
  </si>
  <si>
    <t>https://stockanalysis.com/quote/nse/IDEA/financials/balance-sheet/</t>
  </si>
  <si>
    <t>All current liability lines</t>
  </si>
  <si>
    <t>CORRECTED throughout. Trade payables now exclude accruals; current maturities row = short-term debt + current LTD + current leases.</t>
  </si>
  <si>
    <t>Total current assets / liabilities</t>
  </si>
  <si>
    <t>14,100 / 66,403</t>
  </si>
  <si>
    <t>Equitymaster FY2021-22 annual report analysis (Accord Fintech)</t>
  </si>
  <si>
    <t>GAP: audited totals only; the component split is not in the sources used, so FY21 composition ratios read n/a.</t>
  </si>
  <si>
    <t>https://www.equitymaster.com/research-it/annual-results-analysis/IDEA/VODAFONE-IDEA-2021-22-Annual-Report-Analysis/3573</t>
  </si>
  <si>
    <t>FY23-FY25</t>
  </si>
  <si>
    <t>Cross-check</t>
  </si>
  <si>
    <t>Equitymaster annual report analyses</t>
  </si>
  <si>
    <t>FY23 60,023 / FY24 54,141 / FY25 55,614 - ties exactly to the S&amp;P series.</t>
  </si>
  <si>
    <t>RATIOS</t>
  </si>
  <si>
    <t>Total assets</t>
  </si>
  <si>
    <t>2,03,478 / 1,94,029 / 2,07,243 / 1,84,997 / 1,97,855 / 1,91,630</t>
  </si>
  <si>
    <t>Screener (C-MOTS), consolidated balance sheet</t>
  </si>
  <si>
    <t>CORRECTED FY21, FY22, FY26 (FY26 was 197,000).</t>
  </si>
  <si>
    <t>Reserves &amp; surplus</t>
  </si>
  <si>
    <t>-66,963 / -94,084 / -1,23,039 / -1,54,287 / -1,41,713 / -1,44,101</t>
  </si>
  <si>
    <t>CORRECTED. Used as the Altman X2 proxy; note it is net of securities premium.</t>
  </si>
  <si>
    <t>Total liabilities</t>
  </si>
  <si>
    <t>Formula</t>
  </si>
  <si>
    <t>Derived</t>
  </si>
  <si>
    <t>CHANGED TO A FORMULA: total assets less net worth. The prior row was a press aggregate.</t>
  </si>
  <si>
    <t>INVESTMENT</t>
  </si>
  <si>
    <t>Capital work-in-progress</t>
  </si>
  <si>
    <t>606 / 364 / 17,876 / 18,189 / 18,213 / 15,274</t>
  </si>
  <si>
    <t>FY26 added (was blank).</t>
  </si>
  <si>
    <t>Bharti Airtel capex</t>
  </si>
  <si>
    <t>~28,300</t>
  </si>
  <si>
    <t>Economic Times via Inside Towers, May 2026</t>
  </si>
  <si>
    <t>FY21-FY25 REMOVED - unsourced in the prior version. FY26 is c.US$3.23bn converted at Rs 87.6/US$.</t>
  </si>
  <si>
    <t>https://insidetowers.com/bharti-airtel-anticipates-higher-capex-levels/</t>
  </si>
  <si>
    <t>Revenue market share</t>
  </si>
  <si>
    <t>-</t>
  </si>
  <si>
    <t>BLANK</t>
  </si>
  <si>
    <t>Not sourced</t>
  </si>
  <si>
    <t>ROW CLEARED. Populate from TRAI Performance Indicator Reports.</t>
  </si>
  <si>
    <t>https://www.trai.gov.in/</t>
  </si>
  <si>
    <t>FINANCING</t>
  </si>
  <si>
    <t>Equity share capital</t>
  </si>
  <si>
    <t>28,735 / 32,119 / 48,680 / 50,120 / 71,393 / 1,08,343</t>
  </si>
  <si>
    <t>Unchanged - verified.</t>
  </si>
  <si>
    <t>Shareholding by category</t>
  </si>
  <si>
    <t>Exchange shareholding filings via Screener</t>
  </si>
  <si>
    <t>CORRECTED. GoI was 32.23% at 31-Mar-2024 and 22.63% at 31-Mar-2025; the 49.02% stake dates from Q1 FY26, not FY25.</t>
  </si>
  <si>
    <t>Bank debt</t>
  </si>
  <si>
    <t>FY25-FY26</t>
  </si>
  <si>
    <t>2,326 / 726</t>
  </si>
  <si>
    <t>Company quarterly results releases</t>
  </si>
  <si>
    <t>FY24 CLEARED - not separately disclosed at 31-Mar-2024. Rs 211 cr at 30-Jun-2026.</t>
  </si>
  <si>
    <t>AGR dues</t>
  </si>
  <si>
    <t>64,046</t>
  </si>
  <si>
    <t>DoT communication to the company, 30-Apr-2026; Q4 FY26 earnings call</t>
  </si>
  <si>
    <t>Reduced from Rs 87,695 cr. Replaces the prior Rs 2,01,409 cr combined figure, which could not be re-verified.</t>
  </si>
  <si>
    <t>Forward spectrum instalments</t>
  </si>
  <si>
    <t>FY27-FY29</t>
  </si>
  <si>
    <t>ROW CLEARED. Populate from the contractual maturities note of the FY26 annual report.</t>
  </si>
  <si>
    <t>Q1 FY27 UPDATE</t>
  </si>
  <si>
    <t>Q1 FY27 headline metrics</t>
  </si>
  <si>
    <t>Revenue 11,689; EBITDA 5,034; subs 193.1mn; ARPU 195; capex 1,930</t>
  </si>
  <si>
    <t>Company Q1 FY27 results and investor presentation (filed 15-Sep-2026)</t>
  </si>
  <si>
    <t>First net subscriber addition since the 2018 merger.</t>
  </si>
  <si>
    <t>CAVEATS</t>
  </si>
  <si>
    <t>Basis of presentation</t>
  </si>
  <si>
    <t>All figures consolidated and post-Ind AS 116, so EBITDA, D&amp;A and finance cost all include lease effects. Standalone figures differ by roughly Rs 400-500 cr on revenue.</t>
  </si>
  <si>
    <t>Source hierarchy</t>
  </si>
  <si>
    <t>Company filings first; then S&amp;P Global Market Intelligence and C-MOTS, which both compile from the filings; press only for dated events. Where two compilers differ the variance is noted in-cell.</t>
  </si>
  <si>
    <t>Before submission</t>
  </si>
  <si>
    <t>Reconcile every line to the statutory annual reports on the BSE filings page. The four blank rows above are deliberate and flagged in-cell.</t>
  </si>
  <si>
    <t>https://www.bseindia.com/stock-share-price/vodafone-idea-ltd/IDEA/532822/</t>
  </si>
  <si>
    <t>INVESTMENT DETAIL - ADDED 16-SEP-2026</t>
  </si>
  <si>
    <t>Investing cash flow</t>
  </si>
  <si>
    <t>1,075 / -5,730 / -5,414 / -1,907 / -16,248 / -6,104</t>
  </si>
  <si>
    <t>Screener (C-MOTS), audited cash flow statements</t>
  </si>
  <si>
    <t>FY21 positive on Indus Towers monetisation proceeds.</t>
  </si>
  <si>
    <t>Net fixed assets, closing</t>
  </si>
  <si>
    <t>1,67,490 / 1,56,819 / 1,56,255 / 1,40,125 / 1,41,320 / 1,43,086</t>
  </si>
  <si>
    <t>Net of accumulated depreciation. YoY movement is a formula.</t>
  </si>
  <si>
    <t>PP&amp;E / intangibles split</t>
  </si>
  <si>
    <t>See Investment tab rows 33-34</t>
  </si>
  <si>
    <t>FY21 split not available in the sources used.</t>
  </si>
  <si>
    <t>CWIP opening balance</t>
  </si>
  <si>
    <t>1,138</t>
  </si>
  <si>
    <t>Screener (C-MOTS), 31-Mar-2020 closing balance</t>
  </si>
  <si>
    <t>Later years roll forward from the prior closing, so the whole block is formula-driven.</t>
  </si>
  <si>
    <t>CWIP additions / capitalisations</t>
  </si>
  <si>
    <t>Not available</t>
  </si>
  <si>
    <t>GAP. Disclosed only in the CWIP ageing note of the statutory annual report. Cells read n/a rather than being estimated.</t>
  </si>
  <si>
    <t>Gross PP&amp;E additions</t>
  </si>
  <si>
    <t>GAP. Fixed-asset note of the statutory annual report.</t>
  </si>
  <si>
    <t>Mar-2021 spectrum auction</t>
  </si>
  <si>
    <t>1,993.40</t>
  </si>
  <si>
    <t>Jio Rs 57,123 cr, Airtel Rs 18,699 cr in the same auction.</t>
  </si>
  <si>
    <t>Aug-2022 5G spectrum auction</t>
  </si>
  <si>
    <t>18,799</t>
  </si>
  <si>
    <t>3300 MHz in 17 circles and 26 GHz in 16 circles. Deferred obligation, so it does not appear in cash capex.</t>
  </si>
  <si>
    <t>Jun-2024 spectrum auction</t>
  </si>
  <si>
    <t>3,510.40</t>
  </si>
  <si>
    <t>30 MHz, mainly renewal of expiring 900/1800 MHz holdings.</t>
  </si>
  <si>
    <t>Rs 1,680 cr instalment grace period</t>
  </si>
  <si>
    <t>1,680</t>
  </si>
  <si>
    <t>Deferral evidence. Grace period availed with interest under the NIA terms.</t>
  </si>
  <si>
    <t>Nokia / Ericsson equity settlement</t>
  </si>
  <si>
    <t>2,460</t>
  </si>
  <si>
    <t>1.5% and 0.9% stakes issued to settle overdue vendor payments.</t>
  </si>
  <si>
    <t>Vendor equipment contracts</t>
  </si>
  <si>
    <t>30,000 (US$3.6bn)</t>
  </si>
  <si>
    <t>Three-year supply from Nokia, Ericsson and Samsung; first step of a US$6.6bn / Rs 55,000 cr plan.</t>
  </si>
  <si>
    <t>Equity raised Apr-May 2024</t>
  </si>
  <si>
    <t>~24,000</t>
  </si>
  <si>
    <t>The liquidity event that preceded the 6.7x jump in capex.</t>
  </si>
  <si>
    <t>5G launch timeline</t>
  </si>
  <si>
    <t>FY25-FY27</t>
  </si>
  <si>
    <t>Mumbai Mar-2025 onward</t>
  </si>
  <si>
    <t>Outlook Business; RCR Wireless; Business Standard; company results</t>
  </si>
  <si>
    <t>Mumbai Mar-2025, Chandigarh/Patna Apr-2025, Delhi-NCR 15-May-2025, Bengaluru 11-Jun-2025, 83 cities by FY26, 200+ by Q1 FY27.</t>
  </si>
  <si>
    <t>FY26 network build</t>
  </si>
  <si>
    <t>17,300 towers added; coverage above 86%</t>
  </si>
  <si>
    <t>Total unique broadband towers 202,008 at 31-Mar-2026.</t>
  </si>
  <si>
    <t>Rs 45,000 cr capex programme</t>
  </si>
  <si>
    <t>45,000</t>
  </si>
  <si>
    <t>Three years from FY27, with intensified investment starting Q1 FY27.</t>
  </si>
  <si>
    <t>Q1 FY27 capex and orders</t>
  </si>
  <si>
    <t>1,930 capex; 9,000 orders placed</t>
  </si>
  <si>
    <t>Deployment described as muted on supply-chain constraints.</t>
  </si>
  <si>
    <t>Capex definition</t>
  </si>
  <si>
    <t>Capex = cash purchase of PP&amp;E and intangibles per the consolidated cash flow statement (CFO less free cash flow). Excludes deferred spectrum obligations, Ind AS 116 right-of-use additions, and unpaid vendor credit. Full note on the Investment tab, rows 51-57.</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</si>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</sst>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x"/>
    <numFmt numFmtId="167" formatCode="#,##0.0;\(#,##0.0\);\-"/>
    <numFmt numFmtId="168" formatCode="#,##0\d"/>
    <numFmt numFmtId="169" formatCode="0.000"/>
    <numFmt numFmtId="170" formatCode="0.0%"/>
  </numFmts>
  <fonts count="25" x14ac:knownFonts="1">
    <font>
      <sz val="11"/>
      <color theme="1"/>
      <name val="Calibri"/>
      <family val="2"/>
      <charset val="1"/>
    </font>
    <font>
      <b/>
      <sz val="16"/>
      <color rgb="FF1F3864"/>
      <name val="Arial"/>
      <charset val="1"/>
    </font>
    <font>
      <i/>
      <sz val="9"/>
      <color rgb="FF595959"/>
      <name val="Arial"/>
      <charset val="1"/>
    </font>
    <font>
      <b/>
      <sz val="11"/>
      <color rgb="FF9E1B32"/>
      <name val="Arial"/>
      <charset val="1"/>
    </font>
    <font>
      <b/>
      <sz val="10"/>
      <name val="Arial"/>
      <charset val="1"/>
    </font>
    <font>
      <sz val="10"/>
      <name val="Arial"/>
      <charset val="1"/>
    </font>
    <font>
      <i/>
      <sz val="8"/>
      <color rgb="FFA6A6A6"/>
      <name val="Arial"/>
      <charset val="1"/>
    </font>
    <font>
      <i/>
      <sz val="10"/>
      <color rgb="FF595959"/>
      <name val="Arial"/>
      <charset val="1"/>
    </font>
    <font>
      <b/>
      <sz val="14"/>
      <color rgb="FF1F3864"/>
      <name val="Arial"/>
      <charset val="1"/>
    </font>
    <font>
      <b/>
      <sz val="10"/>
      <color rgb="FFFFFFFF"/>
      <name val="Arial"/>
      <charset val="1"/>
    </font>
    <font>
      <sz val="10"/>
      <color rgb="FF000000"/>
      <name val="Arial"/>
      <charset val="1"/>
    </font>
    <font>
      <sz val="10"/>
      <color rgb="FF0000FF"/>
      <name val="Arial"/>
      <charset val="1"/>
    </font>
    <font>
      <b/>
      <sz val="10"/>
      <color rgb="FF000000"/>
      <name val="Arial"/>
      <charset val="1"/>
    </font>
    <font>
      <sz val="10"/>
      <name val="Arial"/>
      <family val="2"/>
    </font>
    <font>
      <sz val="10"/>
      <color rgb="FF008000"/>
      <name val="Arial"/>
      <charset val="1"/>
    </font>
    <font>
      <i/>
      <sz val="9"/>
      <name val="Arial"/>
      <charset val="1"/>
    </font>
    <font>
      <i/>
      <sz val="10"/>
      <name val="Arial"/>
      <charset val="1"/>
    </font>
    <font>
      <sz val="8"/>
      <name val="Arial"/>
      <charset val="1"/>
    </font>
    <font>
      <sz val="9"/>
      <name val="Arial"/>
      <charset val="1"/>
    </font>
    <font>
      <b/>
      <sz val="10"/>
      <color rgb="FF1F3864"/>
      <name val="Arial"/>
      <charset val="1"/>
    </font>
    <font>
      <b/>
      <sz val="9"/>
      <name val="Arial"/>
      <charset val="1"/>
    </font>
    <font>
      <i/>
      <sz val="10"/>
      <color rgb="FF9E1B32"/>
      <name val="Arial"/>
      <charset val="1"/>
    </font>
    <font>
      <b/>
      <sz val="10"/>
      <color rgb="FF1F6B4A"/>
      <name val="Arial"/>
      <charset val="1"/>
    </font>
    <font>
      <b/>
      <sz val="10"/>
      <color rgb="FF9A6B10"/>
      <name val="Arial"/>
      <charset val="1"/>
    </font>
    <font>
      <b/>
      <sz val="10"/>
      <color rgb="FF9E1B32"/>
      <name val="Arial"/>
      <charset val="1"/>
    </font>
  </fonts>
  <fills count="4">
    <fill>
      <patternFill patternType="none"/>
    </fill>
    <fill>
      <patternFill patternType="gray125"/>
    </fill>
    <fill>
      <patternFill patternType="solid">
        <fgColor rgb="FFDCE6F1"/>
        <bgColor rgb="FFD9D9D9"/>
      </patternFill>
    </fill>
    <fill>
      <patternFill patternType="solid">
        <fgColor rgb="FF1F3864"/>
        <bgColor rgb="FF333399"/>
      </patternFill>
    </fill>
  </fills>
  <borders count="3">
    <border>
      <left/>
      <right/>
      <top/>
      <bottom/>
      <diagonal/>
    </border>
    <border>
      <left/>
      <right/>
      <top/>
      <bottom style="thin">
        <color rgb="FFBFBFBF"/>
      </bottom>
      <diagonal/>
    </border>
    <border>
      <left/>
      <right/>
      <top style="thin">
        <color rgb="FF404040"/>
      </top>
      <bottom/>
      <diagonal/>
    </border>
  </borders>
  <cellStyleXfs count="1">
    <xf numFmtId="0" fontId="0" fillId="0" borderId="0"/>
  </cellStyleXfs>
  <cellXfs count="53">
    <xf numFmtId="0" fontId="0" fillId="0" borderId="0" xfId="0"/>
    <xf numFmtId="0" fontId="18" fillId="0" borderId="0" xfId="0" applyFont="1" applyAlignment="1">
      <alignment vertical="top" wrapText="1"/>
    </xf>
    <xf numFmtId="0" fontId="16" fillId="0" borderId="0" xfId="0" applyFont="1" applyAlignment="1">
      <alignment vertical="top" wrapText="1"/>
    </xf>
    <xf numFmtId="0" fontId="5" fillId="0" borderId="0" xfId="0" applyFont="1" applyAlignment="1">
      <alignment vertical="top" wrapText="1"/>
    </xf>
    <xf numFmtId="0" fontId="7" fillId="0" borderId="0" xfId="0" applyFont="1" applyAlignment="1">
      <alignment wrapText="1"/>
    </xf>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applyAlignment="1">
      <alignment vertical="top"/>
    </xf>
    <xf numFmtId="0" fontId="5" fillId="0" borderId="0" xfId="0" applyFont="1" applyAlignment="1">
      <alignment vertical="top" wrapText="1"/>
    </xf>
    <xf numFmtId="0" fontId="6" fillId="0" borderId="0" xfId="0" applyFont="1"/>
    <xf numFmtId="0" fontId="8" fillId="0" borderId="0" xfId="0" applyFont="1"/>
    <xf numFmtId="0" fontId="9" fillId="3" borderId="0" xfId="0" applyFont="1" applyFill="1"/>
    <xf numFmtId="0" fontId="9" fillId="3" borderId="0" xfId="0" applyFont="1" applyFill="1" applyAlignment="1">
      <alignment horizontal="center"/>
    </xf>
    <xf numFmtId="0" fontId="3" fillId="2" borderId="1" xfId="0" applyFont="1" applyFill="1" applyBorder="1"/>
    <xf numFmtId="0" fontId="0" fillId="2" borderId="1" xfId="0" applyFill="1" applyBorder="1"/>
    <xf numFmtId="0" fontId="10" fillId="0" borderId="0" xfId="0" applyFont="1" applyAlignment="1">
      <alignment indent="1"/>
    </xf>
    <xf numFmtId="164" fontId="11" fillId="0" borderId="0" xfId="0" applyNumberFormat="1" applyFont="1"/>
    <xf numFmtId="165" fontId="10" fillId="0" borderId="0" xfId="0" applyNumberFormat="1" applyFont="1"/>
    <xf numFmtId="0" fontId="4" fillId="0" borderId="2" xfId="0" applyFont="1" applyBorder="1" applyAlignment="1">
      <alignment indent="1"/>
    </xf>
    <xf numFmtId="164" fontId="12" fillId="0" borderId="2" xfId="0" applyNumberFormat="1" applyFont="1" applyBorder="1"/>
    <xf numFmtId="166" fontId="10" fillId="0" borderId="0" xfId="0" applyNumberFormat="1" applyFont="1"/>
    <xf numFmtId="164" fontId="10" fillId="0" borderId="0" xfId="0" applyNumberFormat="1" applyFont="1"/>
    <xf numFmtId="167" fontId="11" fillId="0" borderId="0" xfId="0" applyNumberFormat="1" applyFont="1"/>
    <xf numFmtId="167" fontId="10" fillId="0" borderId="0" xfId="0" applyNumberFormat="1" applyFont="1"/>
    <xf numFmtId="164" fontId="11" fillId="0" borderId="2" xfId="0" applyNumberFormat="1" applyFont="1" applyBorder="1"/>
    <xf numFmtId="166" fontId="14" fillId="0" borderId="0" xfId="0" applyNumberFormat="1" applyFont="1"/>
    <xf numFmtId="168" fontId="14" fillId="0" borderId="0" xfId="0" applyNumberFormat="1" applyFont="1"/>
    <xf numFmtId="168" fontId="10" fillId="0" borderId="0" xfId="0" applyNumberFormat="1" applyFont="1"/>
    <xf numFmtId="164" fontId="14" fillId="0" borderId="0" xfId="0" applyNumberFormat="1" applyFont="1"/>
    <xf numFmtId="0" fontId="15" fillId="0" borderId="0" xfId="0" applyFont="1"/>
    <xf numFmtId="164" fontId="12" fillId="0" borderId="0" xfId="0" applyNumberFormat="1" applyFont="1"/>
    <xf numFmtId="169" fontId="10" fillId="0" borderId="0" xfId="0" applyNumberFormat="1" applyFont="1"/>
    <xf numFmtId="2" fontId="12" fillId="0" borderId="2" xfId="0" applyNumberFormat="1" applyFont="1" applyBorder="1"/>
    <xf numFmtId="0" fontId="10" fillId="0" borderId="0" xfId="0" applyFont="1"/>
    <xf numFmtId="167" fontId="14" fillId="0" borderId="0" xfId="0" applyNumberFormat="1" applyFont="1"/>
    <xf numFmtId="165" fontId="11" fillId="0" borderId="0" xfId="0" applyNumberFormat="1" applyFont="1"/>
    <xf numFmtId="170" fontId="10" fillId="0" borderId="0" xfId="0" applyNumberFormat="1" applyFont="1"/>
    <xf numFmtId="0" fontId="17" fillId="0" borderId="0" xfId="0" applyFont="1" applyAlignment="1">
      <alignment vertical="top" wrapText="1"/>
    </xf>
    <xf numFmtId="0" fontId="18" fillId="0" borderId="0" xfId="0" applyFont="1" applyAlignment="1">
      <alignment vertical="top" wrapText="1"/>
    </xf>
    <xf numFmtId="0" fontId="18" fillId="0" borderId="0" xfId="0" applyFont="1"/>
    <xf numFmtId="0" fontId="9" fillId="3" borderId="0" xfId="0" applyFont="1" applyFill="1" applyAlignment="1">
      <alignment vertical="top" wrapText="1"/>
    </xf>
    <xf numFmtId="0" fontId="19" fillId="0" borderId="0" xfId="0" applyFont="1"/>
    <xf numFmtId="3" fontId="18" fillId="0" borderId="0" xfId="0" applyNumberFormat="1" applyFont="1" applyAlignment="1">
      <alignment vertical="top" wrapText="1"/>
    </xf>
    <xf numFmtId="165" fontId="12" fillId="0" borderId="2" xfId="0" applyNumberFormat="1" applyFont="1" applyBorder="1"/>
    <xf numFmtId="0" fontId="4" fillId="0" borderId="0" xfId="0" applyFont="1"/>
    <xf numFmtId="0" fontId="20" fillId="0" borderId="0" xfId="0" applyFont="1" applyAlignment="1">
      <alignment horizontal="center"/>
    </xf>
    <xf numFmtId="0" fontId="21" fillId="0" borderId="0" xfId="0" applyFont="1"/>
    <xf numFmtId="0" fontId="4"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2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6B10"/>
      <rgbColor rgb="FF800080"/>
      <rgbColor rgb="FF1F7A6D"/>
      <rgbColor rgb="FFBFBFBF"/>
      <rgbColor rgb="FF808080"/>
      <rgbColor rgb="FF9999FF"/>
      <rgbColor rgb="FFC0392B"/>
      <rgbColor rgb="FFFFFFCC"/>
      <rgbColor rgb="FFDCE6F1"/>
      <rgbColor rgb="FF660066"/>
      <rgbColor rgb="FFFF8080"/>
      <rgbColor rgb="FF0066CC"/>
      <rgbColor rgb="FFD9D9D9"/>
      <rgbColor rgb="FF000080"/>
      <rgbColor rgb="FFFF00FF"/>
      <rgbColor rgb="FFFFFF00"/>
      <rgbColor rgb="FF00FFFF"/>
      <rgbColor rgb="FF800080"/>
      <rgbColor rgb="FF800000"/>
      <rgbColor rgb="FF1F6B4A"/>
      <rgbColor rgb="FF0000FF"/>
      <rgbColor rgb="FF00CCFF"/>
      <rgbColor rgb="FFCCFFFF"/>
      <rgbColor rgb="FFCCFFCC"/>
      <rgbColor rgb="FFFFFF99"/>
      <rgbColor rgb="FFB3B3B3"/>
      <rgbColor rgb="FFFF99CC"/>
      <rgbColor rgb="FFCC99FF"/>
      <rgbColor rgb="FFFFCC99"/>
      <rgbColor rgb="FF3366FF"/>
      <rgbColor rgb="FF33CCCC"/>
      <rgbColor rgb="FF99CC00"/>
      <rgbColor rgb="FFFFCC00"/>
      <rgbColor rgb="FFD4A017"/>
      <rgbColor rgb="FFE07B24"/>
      <rgbColor rgb="FF595959"/>
      <rgbColor rgb="FFA6A6A6"/>
      <rgbColor rgb="FF1F3864"/>
      <rgbColor rgb="FF339966"/>
      <rgbColor rgb="FF003300"/>
      <rgbColor rgb="FF333300"/>
      <rgbColor rgb="FF9E1B32"/>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EBITDA vs Finance Cost (Rs cr) — operating profit has never covered interest</a:t>
            </a:r>
          </a:p>
        </c:rich>
      </c:tx>
      <c:overlay val="0"/>
      <c:spPr>
        <a:noFill/>
        <a:ln w="0">
          <a:noFill/>
        </a:ln>
      </c:spPr>
    </c:title>
    <c:autoTitleDeleted val="0"/>
    <c:plotArea>
      <c:layout/>
      <c:barChart>
        <c:barDir val="col"/>
        <c:grouping val="clustered"/>
        <c:varyColors val="0"/>
        <c:ser>
          <c:idx val="0"/>
          <c:order val="0"/>
          <c:tx>
            <c:strRef>
              <c:f>'Income Statement'!$B$9</c:f>
              <c:strCache>
                <c:ptCount val="1"/>
                <c:pt idx="0">
                  <c:v>EBITDA</c:v>
                </c:pt>
              </c:strCache>
            </c:strRef>
          </c:tx>
          <c:spPr>
            <a:solidFill>
              <a:srgbClr val="1F7A6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Statement'!$C$5:$H$5</c:f>
              <c:strCache>
                <c:ptCount val="6"/>
                <c:pt idx="0">
                  <c:v>FY21</c:v>
                </c:pt>
                <c:pt idx="1">
                  <c:v>FY22</c:v>
                </c:pt>
                <c:pt idx="2">
                  <c:v>FY23</c:v>
                </c:pt>
                <c:pt idx="3">
                  <c:v>FY24</c:v>
                </c:pt>
                <c:pt idx="4">
                  <c:v>FY25</c:v>
                </c:pt>
                <c:pt idx="5">
                  <c:v>FY26</c:v>
                </c:pt>
              </c:strCache>
            </c:strRef>
          </c:cat>
          <c:val>
            <c:numRef>
              <c:f>'Income Statement'!$C$9:$H$9</c:f>
              <c:numCache>
                <c:formatCode>#,##0;\(#,##0\);\-</c:formatCode>
                <c:ptCount val="6"/>
                <c:pt idx="0">
                  <c:v>16946</c:v>
                </c:pt>
                <c:pt idx="1">
                  <c:v>15968</c:v>
                </c:pt>
                <c:pt idx="2">
                  <c:v>16753</c:v>
                </c:pt>
                <c:pt idx="3">
                  <c:v>17072</c:v>
                </c:pt>
                <c:pt idx="4">
                  <c:v>18048</c:v>
                </c:pt>
                <c:pt idx="5">
                  <c:v>18859</c:v>
                </c:pt>
              </c:numCache>
            </c:numRef>
          </c:val>
          <c:extLst>
            <c:ext xmlns:c16="http://schemas.microsoft.com/office/drawing/2014/chart" uri="{C3380CC4-5D6E-409C-BE32-E72D297353CC}">
              <c16:uniqueId val="{00000000-4A7C-43E5-BBD4-AA9B795ECA6A}"/>
            </c:ext>
          </c:extLst>
        </c:ser>
        <c:ser>
          <c:idx val="1"/>
          <c:order val="1"/>
          <c:tx>
            <c:strRef>
              <c:f>'Income Statement'!$B$13</c:f>
              <c:strCache>
                <c:ptCount val="1"/>
                <c:pt idx="0">
                  <c:v>Finance cost</c:v>
                </c:pt>
              </c:strCache>
            </c:strRef>
          </c:tx>
          <c:spPr>
            <a:solidFill>
              <a:srgbClr val="C0392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Statement'!$C$5:$H$5</c:f>
              <c:strCache>
                <c:ptCount val="6"/>
                <c:pt idx="0">
                  <c:v>FY21</c:v>
                </c:pt>
                <c:pt idx="1">
                  <c:v>FY22</c:v>
                </c:pt>
                <c:pt idx="2">
                  <c:v>FY23</c:v>
                </c:pt>
                <c:pt idx="3">
                  <c:v>FY24</c:v>
                </c:pt>
                <c:pt idx="4">
                  <c:v>FY25</c:v>
                </c:pt>
                <c:pt idx="5">
                  <c:v>FY26</c:v>
                </c:pt>
              </c:strCache>
            </c:strRef>
          </c:cat>
          <c:val>
            <c:numRef>
              <c:f>'Income Statement'!$C$13:$H$13</c:f>
              <c:numCache>
                <c:formatCode>#,##0;\(#,##0\);\-</c:formatCode>
                <c:ptCount val="6"/>
                <c:pt idx="0">
                  <c:v>17998</c:v>
                </c:pt>
                <c:pt idx="1">
                  <c:v>20981</c:v>
                </c:pt>
                <c:pt idx="2">
                  <c:v>23354</c:v>
                </c:pt>
                <c:pt idx="3">
                  <c:v>25766</c:v>
                </c:pt>
                <c:pt idx="4">
                  <c:v>24543</c:v>
                </c:pt>
                <c:pt idx="5">
                  <c:v>21495</c:v>
                </c:pt>
              </c:numCache>
            </c:numRef>
          </c:val>
          <c:extLst>
            <c:ext xmlns:c16="http://schemas.microsoft.com/office/drawing/2014/chart" uri="{C3380CC4-5D6E-409C-BE32-E72D297353CC}">
              <c16:uniqueId val="{00000001-4A7C-43E5-BBD4-AA9B795ECA6A}"/>
            </c:ext>
          </c:extLst>
        </c:ser>
        <c:dLbls>
          <c:showLegendKey val="0"/>
          <c:showVal val="0"/>
          <c:showCatName val="0"/>
          <c:showSerName val="0"/>
          <c:showPercent val="0"/>
          <c:showBubbleSize val="0"/>
        </c:dLbls>
        <c:gapWidth val="60"/>
        <c:overlap val="-10"/>
        <c:axId val="41169124"/>
        <c:axId val="18779699"/>
      </c:barChart>
      <c:catAx>
        <c:axId val="4116912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8779699"/>
        <c:crosses val="autoZero"/>
        <c:auto val="1"/>
        <c:lblAlgn val="ctr"/>
        <c:lblOffset val="100"/>
        <c:noMultiLvlLbl val="0"/>
      </c:catAx>
      <c:valAx>
        <c:axId val="1877969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Rs crore</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1169124"/>
        <c:crosses val="autoZero"/>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Interest Coverage Ratio — EBITDA / Finance Cost (below 1.00x every year)</a:t>
            </a:r>
          </a:p>
        </c:rich>
      </c:tx>
      <c:overlay val="0"/>
      <c:spPr>
        <a:noFill/>
        <a:ln w="0">
          <a:noFill/>
        </a:ln>
      </c:spPr>
    </c:title>
    <c:autoTitleDeleted val="0"/>
    <c:plotArea>
      <c:layout/>
      <c:lineChart>
        <c:grouping val="standard"/>
        <c:varyColors val="0"/>
        <c:ser>
          <c:idx val="0"/>
          <c:order val="0"/>
          <c:tx>
            <c:v>Interest coverage (EBITDA / finance cost)</c:v>
          </c:tx>
          <c:spPr>
            <a:ln w="28080">
              <a:solidFill>
                <a:srgbClr val="C0392B"/>
              </a:solidFill>
              <a:round/>
            </a:ln>
          </c:spPr>
          <c:marker>
            <c:symbol val="circle"/>
            <c:size val="6"/>
            <c:spPr>
              <a:solidFill>
                <a:srgbClr val="C0392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Statement'!$C$5:$H$5</c:f>
              <c:strCache>
                <c:ptCount val="6"/>
                <c:pt idx="0">
                  <c:v>FY21</c:v>
                </c:pt>
                <c:pt idx="1">
                  <c:v>FY22</c:v>
                </c:pt>
                <c:pt idx="2">
                  <c:v>FY23</c:v>
                </c:pt>
                <c:pt idx="3">
                  <c:v>FY24</c:v>
                </c:pt>
                <c:pt idx="4">
                  <c:v>FY25</c:v>
                </c:pt>
                <c:pt idx="5">
                  <c:v>FY26</c:v>
                </c:pt>
              </c:strCache>
            </c:strRef>
          </c:cat>
          <c:val>
            <c:numRef>
              <c:f>Ratios!$C$18:$H$18</c:f>
              <c:numCache>
                <c:formatCode>0.00\x</c:formatCode>
                <c:ptCount val="6"/>
                <c:pt idx="0">
                  <c:v>0.94154906100677849</c:v>
                </c:pt>
                <c:pt idx="1">
                  <c:v>0.76106953910681097</c:v>
                </c:pt>
                <c:pt idx="2">
                  <c:v>0.71735034683565979</c:v>
                </c:pt>
                <c:pt idx="3">
                  <c:v>0.6625785919428705</c:v>
                </c:pt>
                <c:pt idx="4">
                  <c:v>0.73536242513140204</c:v>
                </c:pt>
                <c:pt idx="5">
                  <c:v>0.87736682949523148</c:v>
                </c:pt>
              </c:numCache>
            </c:numRef>
          </c:val>
          <c:smooth val="0"/>
          <c:extLst>
            <c:ext xmlns:c16="http://schemas.microsoft.com/office/drawing/2014/chart" uri="{C3380CC4-5D6E-409C-BE32-E72D297353CC}">
              <c16:uniqueId val="{00000000-63DB-4A73-A2C0-2F778570D3D8}"/>
            </c:ext>
          </c:extLst>
        </c:ser>
        <c:ser>
          <c:idx val="1"/>
          <c:order val="1"/>
          <c:tx>
            <c:v>1.00x benchmark</c:v>
          </c:tx>
          <c:spPr>
            <a:ln w="14040">
              <a:solidFill>
                <a:srgbClr val="A6A6A6"/>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Statement'!$C$5:$H$5</c:f>
              <c:strCache>
                <c:ptCount val="6"/>
                <c:pt idx="0">
                  <c:v>FY21</c:v>
                </c:pt>
                <c:pt idx="1">
                  <c:v>FY22</c:v>
                </c:pt>
                <c:pt idx="2">
                  <c:v>FY23</c:v>
                </c:pt>
                <c:pt idx="3">
                  <c:v>FY24</c:v>
                </c:pt>
                <c:pt idx="4">
                  <c:v>FY25</c:v>
                </c:pt>
                <c:pt idx="5">
                  <c:v>FY26</c:v>
                </c:pt>
              </c:strCache>
            </c:strRef>
          </c:cat>
          <c:val>
            <c:numRef>
              <c:f>Charts!$S$2:$S$7</c:f>
              <c:numCache>
                <c:formatCode>General</c:formatCode>
                <c:ptCount val="6"/>
                <c:pt idx="0">
                  <c:v>1</c:v>
                </c:pt>
                <c:pt idx="1">
                  <c:v>1</c:v>
                </c:pt>
                <c:pt idx="2">
                  <c:v>1</c:v>
                </c:pt>
                <c:pt idx="3">
                  <c:v>1</c:v>
                </c:pt>
                <c:pt idx="4">
                  <c:v>1</c:v>
                </c:pt>
                <c:pt idx="5">
                  <c:v>1</c:v>
                </c:pt>
              </c:numCache>
            </c:numRef>
          </c:val>
          <c:smooth val="0"/>
          <c:extLst>
            <c:ext xmlns:c16="http://schemas.microsoft.com/office/drawing/2014/chart" uri="{C3380CC4-5D6E-409C-BE32-E72D297353CC}">
              <c16:uniqueId val="{00000001-63DB-4A73-A2C0-2F778570D3D8}"/>
            </c:ext>
          </c:extLst>
        </c:ser>
        <c:dLbls>
          <c:showLegendKey val="0"/>
          <c:showVal val="0"/>
          <c:showCatName val="0"/>
          <c:showSerName val="0"/>
          <c:showPercent val="0"/>
          <c:showBubbleSize val="0"/>
        </c:dLbls>
        <c:hiLowLines>
          <c:spPr>
            <a:ln w="0">
              <a:noFill/>
            </a:ln>
          </c:spPr>
        </c:hiLowLines>
        <c:marker val="1"/>
        <c:smooth val="0"/>
        <c:axId val="86310478"/>
        <c:axId val="77468355"/>
      </c:lineChart>
      <c:catAx>
        <c:axId val="8631047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7468355"/>
        <c:crosses val="autoZero"/>
        <c:auto val="1"/>
        <c:lblAlgn val="ctr"/>
        <c:lblOffset val="100"/>
        <c:noMultiLvlLbl val="0"/>
      </c:catAx>
      <c:valAx>
        <c:axId val="7746835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x (times)</a:t>
                </a:r>
              </a:p>
            </c:rich>
          </c:tx>
          <c:overlay val="0"/>
          <c:spPr>
            <a:noFill/>
            <a:ln w="0">
              <a:noFill/>
            </a:ln>
          </c:spPr>
        </c:title>
        <c:numFmt formatCode="0.00\x"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6310478"/>
        <c:crosses val="autoZero"/>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Net Working Capital (Rs cr) — negative in every year, but narrowing since FY24</a:t>
            </a:r>
          </a:p>
        </c:rich>
      </c:tx>
      <c:overlay val="0"/>
      <c:spPr>
        <a:noFill/>
        <a:ln w="0">
          <a:noFill/>
        </a:ln>
      </c:spPr>
    </c:title>
    <c:autoTitleDeleted val="0"/>
    <c:plotArea>
      <c:layout/>
      <c:barChart>
        <c:barDir val="col"/>
        <c:grouping val="clustered"/>
        <c:varyColors val="0"/>
        <c:ser>
          <c:idx val="0"/>
          <c:order val="0"/>
          <c:tx>
            <c:strRef>
              <c:f>'Working Capital'!$B$21</c:f>
              <c:strCache>
                <c:ptCount val="1"/>
                <c:pt idx="0">
                  <c:v>Net working capital (TCA less TCL)</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'Working Capital'!$C$5:$H$5</c:f>
              <c:strCache>
                <c:ptCount val="6"/>
                <c:pt idx="0">
                  <c:v>FY21</c:v>
                </c:pt>
                <c:pt idx="1">
                  <c:v>FY22</c:v>
                </c:pt>
                <c:pt idx="2">
                  <c:v>FY23</c:v>
                </c:pt>
                <c:pt idx="3">
                  <c:v>FY24</c:v>
                </c:pt>
                <c:pt idx="4">
                  <c:v>FY25</c:v>
                </c:pt>
                <c:pt idx="5">
                  <c:v>FY26</c:v>
                </c:pt>
              </c:strCache>
            </c:strRef>
          </c:cat>
          <c:val>
            <c:numRef>
              <c:f>'Working Capital'!$C$21:$H$21</c:f>
              <c:numCache>
                <c:formatCode>#,##0;\(#,##0\);\-</c:formatCode>
                <c:ptCount val="6"/>
                <c:pt idx="0">
                  <c:v>-52303</c:v>
                </c:pt>
                <c:pt idx="1">
                  <c:v>-44299</c:v>
                </c:pt>
                <c:pt idx="2">
                  <c:v>-46122</c:v>
                </c:pt>
                <c:pt idx="3">
                  <c:v>-41232</c:v>
                </c:pt>
                <c:pt idx="4">
                  <c:v>-24575</c:v>
                </c:pt>
                <c:pt idx="5">
                  <c:v>-17813</c:v>
                </c:pt>
              </c:numCache>
            </c:numRef>
          </c:val>
          <c:extLst>
            <c:ext xmlns:c16="http://schemas.microsoft.com/office/drawing/2014/chart" uri="{C3380CC4-5D6E-409C-BE32-E72D297353CC}">
              <c16:uniqueId val="{00000000-9B19-4721-A7C0-BB0E15A5CCD5}"/>
            </c:ext>
          </c:extLst>
        </c:ser>
        <c:dLbls>
          <c:showLegendKey val="0"/>
          <c:showVal val="0"/>
          <c:showCatName val="0"/>
          <c:showSerName val="0"/>
          <c:showPercent val="0"/>
          <c:showBubbleSize val="0"/>
        </c:dLbls>
        <c:gapWidth val="150"/>
        <c:axId val="90723036"/>
        <c:axId val="55610430"/>
      </c:barChart>
      <c:catAx>
        <c:axId val="9072303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610430"/>
        <c:crosses val="autoZero"/>
        <c:auto val="1"/>
        <c:lblAlgn val="ctr"/>
        <c:lblOffset val="100"/>
        <c:noMultiLvlLbl val="0"/>
      </c:catAx>
      <c:valAx>
        <c:axId val="5561043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Rs crore</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72303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Current Liability Composition (Rs cr) — statutory maturities dominate, peak 43% in FY22</a:t>
            </a:r>
          </a:p>
        </c:rich>
      </c:tx>
      <c:overlay val="0"/>
      <c:spPr>
        <a:noFill/>
        <a:ln w="0">
          <a:noFill/>
        </a:ln>
      </c:spPr>
    </c:title>
    <c:autoTitleDeleted val="0"/>
    <c:plotArea>
      <c:layout/>
      <c:barChart>
        <c:barDir val="col"/>
        <c:grouping val="stacked"/>
        <c:varyColors val="0"/>
        <c:ser>
          <c:idx val="0"/>
          <c:order val="0"/>
          <c:tx>
            <c:v>Current maturities of debt &amp; statutory dues</c:v>
          </c:tx>
          <c:spPr>
            <a:solidFill>
              <a:srgbClr val="C0392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'Working Capital'!$D$5:$H$5</c:f>
              <c:strCache>
                <c:ptCount val="5"/>
                <c:pt idx="0">
                  <c:v>FY22</c:v>
                </c:pt>
                <c:pt idx="1">
                  <c:v>FY23</c:v>
                </c:pt>
                <c:pt idx="2">
                  <c:v>FY24</c:v>
                </c:pt>
                <c:pt idx="3">
                  <c:v>FY25</c:v>
                </c:pt>
                <c:pt idx="4">
                  <c:v>FY26</c:v>
                </c:pt>
              </c:strCache>
            </c:strRef>
          </c:cat>
          <c:val>
            <c:numRef>
              <c:f>'Working Capital'!$D$16:$H$16</c:f>
              <c:numCache>
                <c:formatCode>#,##0;\(#,##0\);\-</c:formatCode>
                <c:ptCount val="5"/>
                <c:pt idx="0">
                  <c:v>26378</c:v>
                </c:pt>
                <c:pt idx="1">
                  <c:v>23415</c:v>
                </c:pt>
                <c:pt idx="2">
                  <c:v>16588</c:v>
                </c:pt>
                <c:pt idx="3">
                  <c:v>21244</c:v>
                </c:pt>
                <c:pt idx="4">
                  <c:v>10559</c:v>
                </c:pt>
              </c:numCache>
            </c:numRef>
          </c:val>
          <c:extLst>
            <c:ext xmlns:c16="http://schemas.microsoft.com/office/drawing/2014/chart" uri="{C3380CC4-5D6E-409C-BE32-E72D297353CC}">
              <c16:uniqueId val="{00000000-596B-4478-9D19-06758AC86A41}"/>
            </c:ext>
          </c:extLst>
        </c:ser>
        <c:ser>
          <c:idx val="1"/>
          <c:order val="1"/>
          <c:tx>
            <c:v>Trade payables</c:v>
          </c:tx>
          <c:spPr>
            <a:solidFill>
              <a:srgbClr val="D4A01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'Working Capital'!$D$5:$H$5</c:f>
              <c:strCache>
                <c:ptCount val="5"/>
                <c:pt idx="0">
                  <c:v>FY22</c:v>
                </c:pt>
                <c:pt idx="1">
                  <c:v>FY23</c:v>
                </c:pt>
                <c:pt idx="2">
                  <c:v>FY24</c:v>
                </c:pt>
                <c:pt idx="3">
                  <c:v>FY25</c:v>
                </c:pt>
                <c:pt idx="4">
                  <c:v>FY26</c:v>
                </c:pt>
              </c:strCache>
            </c:strRef>
          </c:cat>
          <c:val>
            <c:numRef>
              <c:f>'Working Capital'!$D$15:$H$15</c:f>
              <c:numCache>
                <c:formatCode>#,##0;\(#,##0\);\-</c:formatCode>
                <c:ptCount val="5"/>
                <c:pt idx="0">
                  <c:v>13170</c:v>
                </c:pt>
                <c:pt idx="1">
                  <c:v>13536</c:v>
                </c:pt>
                <c:pt idx="2">
                  <c:v>13436</c:v>
                </c:pt>
                <c:pt idx="3">
                  <c:v>10747</c:v>
                </c:pt>
                <c:pt idx="4">
                  <c:v>8826</c:v>
                </c:pt>
              </c:numCache>
            </c:numRef>
          </c:val>
          <c:extLst>
            <c:ext xmlns:c16="http://schemas.microsoft.com/office/drawing/2014/chart" uri="{C3380CC4-5D6E-409C-BE32-E72D297353CC}">
              <c16:uniqueId val="{00000001-596B-4478-9D19-06758AC86A41}"/>
            </c:ext>
          </c:extLst>
        </c:ser>
        <c:ser>
          <c:idx val="2"/>
          <c:order val="2"/>
          <c:tx>
            <c:v>Other current liabilities &amp; provisions</c:v>
          </c:tx>
          <c:spPr>
            <a:solidFill>
              <a:srgbClr val="A6A6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'Working Capital'!$D$5:$H$5</c:f>
              <c:strCache>
                <c:ptCount val="5"/>
                <c:pt idx="0">
                  <c:v>FY22</c:v>
                </c:pt>
                <c:pt idx="1">
                  <c:v>FY23</c:v>
                </c:pt>
                <c:pt idx="2">
                  <c:v>FY24</c:v>
                </c:pt>
                <c:pt idx="3">
                  <c:v>FY25</c:v>
                </c:pt>
                <c:pt idx="4">
                  <c:v>FY26</c:v>
                </c:pt>
              </c:strCache>
            </c:strRef>
          </c:cat>
          <c:val>
            <c:numRef>
              <c:f>'Working Capital'!$D$17:$H$17</c:f>
              <c:numCache>
                <c:formatCode>#,##0;\(#,##0\);\-</c:formatCode>
                <c:ptCount val="5"/>
                <c:pt idx="0">
                  <c:v>21586</c:v>
                </c:pt>
                <c:pt idx="1">
                  <c:v>23072</c:v>
                </c:pt>
                <c:pt idx="2">
                  <c:v>24118</c:v>
                </c:pt>
                <c:pt idx="3">
                  <c:v>23623</c:v>
                </c:pt>
                <c:pt idx="4">
                  <c:v>20304</c:v>
                </c:pt>
              </c:numCache>
            </c:numRef>
          </c:val>
          <c:extLst>
            <c:ext xmlns:c16="http://schemas.microsoft.com/office/drawing/2014/chart" uri="{C3380CC4-5D6E-409C-BE32-E72D297353CC}">
              <c16:uniqueId val="{00000002-596B-4478-9D19-06758AC86A41}"/>
            </c:ext>
          </c:extLst>
        </c:ser>
        <c:dLbls>
          <c:showLegendKey val="0"/>
          <c:showVal val="0"/>
          <c:showCatName val="0"/>
          <c:showSerName val="0"/>
          <c:showPercent val="0"/>
          <c:showBubbleSize val="0"/>
        </c:dLbls>
        <c:gapWidth val="150"/>
        <c:overlap val="100"/>
        <c:axId val="98239576"/>
        <c:axId val="62078727"/>
      </c:barChart>
      <c:catAx>
        <c:axId val="9823957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078727"/>
        <c:crosses val="autoZero"/>
        <c:auto val="1"/>
        <c:lblAlgn val="ctr"/>
        <c:lblOffset val="100"/>
        <c:noMultiLvlLbl val="0"/>
      </c:catAx>
      <c:valAx>
        <c:axId val="6207872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Rs crore</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8239576"/>
        <c:crosses val="autoZero"/>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Receivable Days vs Payable Days — vendors financed the deficit, not customers</a:t>
            </a:r>
          </a:p>
        </c:rich>
      </c:tx>
      <c:overlay val="0"/>
      <c:spPr>
        <a:noFill/>
        <a:ln w="0">
          <a:noFill/>
        </a:ln>
      </c:spPr>
    </c:title>
    <c:autoTitleDeleted val="0"/>
    <c:plotArea>
      <c:layout/>
      <c:lineChart>
        <c:grouping val="standard"/>
        <c:varyColors val="0"/>
        <c:ser>
          <c:idx val="0"/>
          <c:order val="0"/>
          <c:tx>
            <c:v>Receivable days (DSO)</c:v>
          </c:tx>
          <c:spPr>
            <a:ln w="28080">
              <a:solidFill>
                <a:srgbClr val="1F7A6D"/>
              </a:solidFill>
              <a:round/>
            </a:ln>
          </c:spPr>
          <c:marker>
            <c:symbol val="circle"/>
            <c:size val="6"/>
            <c:spPr>
              <a:solidFill>
                <a:srgbClr val="1F7A6D"/>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Ratios!$D$5:$H$5</c:f>
              <c:strCache>
                <c:ptCount val="5"/>
                <c:pt idx="0">
                  <c:v>FY22</c:v>
                </c:pt>
                <c:pt idx="1">
                  <c:v>FY23</c:v>
                </c:pt>
                <c:pt idx="2">
                  <c:v>FY24</c:v>
                </c:pt>
                <c:pt idx="3">
                  <c:v>FY25</c:v>
                </c:pt>
                <c:pt idx="4">
                  <c:v>FY26</c:v>
                </c:pt>
              </c:strCache>
            </c:strRef>
          </c:cat>
          <c:val>
            <c:numRef>
              <c:f>Ratios!$D$12:$H$12</c:f>
              <c:numCache>
                <c:formatCode>#,##0\d</c:formatCode>
                <c:ptCount val="5"/>
                <c:pt idx="0">
                  <c:v>23.160764357669539</c:v>
                </c:pt>
                <c:pt idx="1">
                  <c:v>18.7272684164355</c:v>
                </c:pt>
                <c:pt idx="2">
                  <c:v>18.78399606114602</c:v>
                </c:pt>
                <c:pt idx="3">
                  <c:v>16.753878637657209</c:v>
                </c:pt>
                <c:pt idx="4">
                  <c:v>16.015978428007934</c:v>
                </c:pt>
              </c:numCache>
            </c:numRef>
          </c:val>
          <c:smooth val="0"/>
          <c:extLst>
            <c:ext xmlns:c16="http://schemas.microsoft.com/office/drawing/2014/chart" uri="{C3380CC4-5D6E-409C-BE32-E72D297353CC}">
              <c16:uniqueId val="{00000000-2B9C-409F-ABFC-FCDF53CAAA9B}"/>
            </c:ext>
          </c:extLst>
        </c:ser>
        <c:ser>
          <c:idx val="1"/>
          <c:order val="1"/>
          <c:tx>
            <c:v>Payable days (DPO)</c:v>
          </c:tx>
          <c:spPr>
            <a:ln w="28080">
              <a:solidFill>
                <a:srgbClr val="C0392B"/>
              </a:solidFill>
              <a:round/>
            </a:ln>
          </c:spPr>
          <c:marker>
            <c:symbol val="circle"/>
            <c:size val="6"/>
            <c:spPr>
              <a:solidFill>
                <a:srgbClr val="C0392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Ratios!$D$5:$H$5</c:f>
              <c:strCache>
                <c:ptCount val="5"/>
                <c:pt idx="0">
                  <c:v>FY22</c:v>
                </c:pt>
                <c:pt idx="1">
                  <c:v>FY23</c:v>
                </c:pt>
                <c:pt idx="2">
                  <c:v>FY24</c:v>
                </c:pt>
                <c:pt idx="3">
                  <c:v>FY25</c:v>
                </c:pt>
                <c:pt idx="4">
                  <c:v>FY26</c:v>
                </c:pt>
              </c:strCache>
            </c:strRef>
          </c:cat>
          <c:val>
            <c:numRef>
              <c:f>Ratios!$D$14:$H$14</c:f>
              <c:numCache>
                <c:formatCode>#,##0\d</c:formatCode>
                <c:ptCount val="5"/>
                <c:pt idx="0">
                  <c:v>213.19185737094199</c:v>
                </c:pt>
                <c:pt idx="1">
                  <c:v>194.32976714915043</c:v>
                </c:pt>
                <c:pt idx="2">
                  <c:v>191.71774824081314</c:v>
                </c:pt>
                <c:pt idx="3">
                  <c:v>153.68496317191662</c:v>
                </c:pt>
                <c:pt idx="4">
                  <c:v>123.83678019527946</c:v>
                </c:pt>
              </c:numCache>
            </c:numRef>
          </c:val>
          <c:smooth val="0"/>
          <c:extLst>
            <c:ext xmlns:c16="http://schemas.microsoft.com/office/drawing/2014/chart" uri="{C3380CC4-5D6E-409C-BE32-E72D297353CC}">
              <c16:uniqueId val="{00000001-2B9C-409F-ABFC-FCDF53CAAA9B}"/>
            </c:ext>
          </c:extLst>
        </c:ser>
        <c:dLbls>
          <c:showLegendKey val="0"/>
          <c:showVal val="0"/>
          <c:showCatName val="0"/>
          <c:showSerName val="0"/>
          <c:showPercent val="0"/>
          <c:showBubbleSize val="0"/>
        </c:dLbls>
        <c:hiLowLines>
          <c:spPr>
            <a:ln w="0">
              <a:noFill/>
            </a:ln>
          </c:spPr>
        </c:hiLowLines>
        <c:marker val="1"/>
        <c:smooth val="0"/>
        <c:axId val="49438226"/>
        <c:axId val="21375763"/>
      </c:lineChart>
      <c:catAx>
        <c:axId val="4943822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375763"/>
        <c:crosses val="autoZero"/>
        <c:auto val="1"/>
        <c:lblAlgn val="ctr"/>
        <c:lblOffset val="100"/>
        <c:noMultiLvlLbl val="0"/>
      </c:catAx>
      <c:valAx>
        <c:axId val="2137576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Days</a:t>
                </a:r>
              </a:p>
            </c:rich>
          </c:tx>
          <c:overlay val="0"/>
          <c:spPr>
            <a:noFill/>
            <a:ln w="0">
              <a:noFill/>
            </a:ln>
          </c:spPr>
        </c:title>
        <c:numFmt formatCode="#,##0\d"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438226"/>
        <c:crosses val="autoZero"/>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Liquid Assets — Months of Cash Operating Cost on Hand</a:t>
            </a:r>
          </a:p>
        </c:rich>
      </c:tx>
      <c:overlay val="0"/>
      <c:spPr>
        <a:noFill/>
        <a:ln w="0">
          <a:noFill/>
        </a:ln>
      </c:spPr>
    </c:title>
    <c:autoTitleDeleted val="0"/>
    <c:plotArea>
      <c:layout/>
      <c:barChart>
        <c:barDir val="col"/>
        <c:grouping val="clustered"/>
        <c:varyColors val="0"/>
        <c:ser>
          <c:idx val="0"/>
          <c:order val="0"/>
          <c:tx>
            <c:v>Liquid assets, months of cash opex</c:v>
          </c:tx>
          <c:spPr>
            <a:solidFill>
              <a:srgbClr val="E07B2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'Working Capital'!$D$5:$H$5</c:f>
              <c:strCache>
                <c:ptCount val="5"/>
                <c:pt idx="0">
                  <c:v>FY22</c:v>
                </c:pt>
                <c:pt idx="1">
                  <c:v>FY23</c:v>
                </c:pt>
                <c:pt idx="2">
                  <c:v>FY24</c:v>
                </c:pt>
                <c:pt idx="3">
                  <c:v>FY25</c:v>
                </c:pt>
                <c:pt idx="4">
                  <c:v>FY26</c:v>
                </c:pt>
              </c:strCache>
            </c:strRef>
          </c:cat>
          <c:val>
            <c:numRef>
              <c:f>'Working Capital'!$D$30:$H$30</c:f>
              <c:numCache>
                <c:formatCode>#,##0.0;\(#,##0.0\);\-</c:formatCode>
                <c:ptCount val="5"/>
                <c:pt idx="0">
                  <c:v>0.77647684938797235</c:v>
                </c:pt>
                <c:pt idx="1">
                  <c:v>0.11091881686595344</c:v>
                </c:pt>
                <c:pt idx="2">
                  <c:v>7.9280688037529329E-2</c:v>
                </c:pt>
                <c:pt idx="3">
                  <c:v>2.9666196520921484</c:v>
                </c:pt>
                <c:pt idx="4">
                  <c:v>1.7136926270469746</c:v>
                </c:pt>
              </c:numCache>
            </c:numRef>
          </c:val>
          <c:extLst>
            <c:ext xmlns:c16="http://schemas.microsoft.com/office/drawing/2014/chart" uri="{C3380CC4-5D6E-409C-BE32-E72D297353CC}">
              <c16:uniqueId val="{00000000-58F0-4C49-9494-5BE4028C95B1}"/>
            </c:ext>
          </c:extLst>
        </c:ser>
        <c:dLbls>
          <c:showLegendKey val="0"/>
          <c:showVal val="0"/>
          <c:showCatName val="0"/>
          <c:showSerName val="0"/>
          <c:showPercent val="0"/>
          <c:showBubbleSize val="0"/>
        </c:dLbls>
        <c:gapWidth val="150"/>
        <c:axId val="3807141"/>
        <c:axId val="42711524"/>
      </c:barChart>
      <c:catAx>
        <c:axId val="380714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711524"/>
        <c:crosses val="autoZero"/>
        <c:auto val="1"/>
        <c:lblAlgn val="ctr"/>
        <c:lblOffset val="100"/>
        <c:noMultiLvlLbl val="0"/>
      </c:catAx>
      <c:valAx>
        <c:axId val="4271152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Months</a:t>
                </a:r>
              </a:p>
            </c:rich>
          </c:tx>
          <c:overlay val="0"/>
          <c:spPr>
            <a:noFill/>
            <a:ln w="0">
              <a:noFill/>
            </a:ln>
          </c:spPr>
        </c:title>
        <c:numFmt formatCode="#,##0.0;\(#,##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8071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Capex vs Capital Work-in-Progress (Rs cr) — CWIP frozen FY23-FY25, then drawn down</a:t>
            </a:r>
          </a:p>
        </c:rich>
      </c:tx>
      <c:overlay val="0"/>
      <c:spPr>
        <a:noFill/>
        <a:ln w="0">
          <a:noFill/>
        </a:ln>
      </c:spPr>
    </c:title>
    <c:autoTitleDeleted val="0"/>
    <c:plotArea>
      <c:layout/>
      <c:barChart>
        <c:barDir val="col"/>
        <c:grouping val="clustered"/>
        <c:varyColors val="0"/>
        <c:ser>
          <c:idx val="0"/>
          <c:order val="0"/>
          <c:tx>
            <c:strRef>
              <c:f>Investment!$B$7</c:f>
              <c:strCache>
                <c:ptCount val="1"/>
                <c:pt idx="0">
                  <c:v>Capex (₹ cr)</c:v>
                </c:pt>
              </c:strCache>
            </c:strRef>
          </c:tx>
          <c:spPr>
            <a:solidFill>
              <a:srgbClr val="1F7A6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Investment!$C$5:$H$5</c:f>
              <c:strCache>
                <c:ptCount val="6"/>
                <c:pt idx="0">
                  <c:v>FY21</c:v>
                </c:pt>
                <c:pt idx="1">
                  <c:v>FY22</c:v>
                </c:pt>
                <c:pt idx="2">
                  <c:v>FY23</c:v>
                </c:pt>
                <c:pt idx="3">
                  <c:v>FY24</c:v>
                </c:pt>
                <c:pt idx="4">
                  <c:v>FY25</c:v>
                </c:pt>
                <c:pt idx="5">
                  <c:v>FY26</c:v>
                </c:pt>
              </c:strCache>
            </c:strRef>
          </c:cat>
          <c:val>
            <c:numRef>
              <c:f>Investment!$C$7:$H$7</c:f>
              <c:numCache>
                <c:formatCode>#,##0;\(#,##0\);\-</c:formatCode>
                <c:ptCount val="6"/>
                <c:pt idx="0">
                  <c:v>5106</c:v>
                </c:pt>
                <c:pt idx="1">
                  <c:v>5992</c:v>
                </c:pt>
                <c:pt idx="2">
                  <c:v>5537</c:v>
                </c:pt>
                <c:pt idx="3">
                  <c:v>1530</c:v>
                </c:pt>
                <c:pt idx="4">
                  <c:v>10220</c:v>
                </c:pt>
                <c:pt idx="5">
                  <c:v>10814</c:v>
                </c:pt>
              </c:numCache>
            </c:numRef>
          </c:val>
          <c:extLst>
            <c:ext xmlns:c16="http://schemas.microsoft.com/office/drawing/2014/chart" uri="{C3380CC4-5D6E-409C-BE32-E72D297353CC}">
              <c16:uniqueId val="{00000000-3994-4084-A2CF-1F139AC2882F}"/>
            </c:ext>
          </c:extLst>
        </c:ser>
        <c:dLbls>
          <c:showLegendKey val="0"/>
          <c:showVal val="0"/>
          <c:showCatName val="0"/>
          <c:showSerName val="0"/>
          <c:showPercent val="0"/>
          <c:showBubbleSize val="0"/>
        </c:dLbls>
        <c:gapWidth val="150"/>
        <c:axId val="42187562"/>
        <c:axId val="99106752"/>
      </c:barChart>
      <c:lineChart>
        <c:grouping val="standard"/>
        <c:varyColors val="0"/>
        <c:ser>
          <c:idx val="1"/>
          <c:order val="1"/>
          <c:tx>
            <c:strRef>
              <c:f>Investment!$B$12</c:f>
              <c:strCache>
                <c:ptCount val="1"/>
                <c:pt idx="0">
                  <c:v>Capital work-in-progress (₹ cr)</c:v>
                </c:pt>
              </c:strCache>
            </c:strRef>
          </c:tx>
          <c:spPr>
            <a:ln w="2808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Investment!$C$5:$H$5</c:f>
              <c:strCache>
                <c:ptCount val="6"/>
                <c:pt idx="0">
                  <c:v>FY21</c:v>
                </c:pt>
                <c:pt idx="1">
                  <c:v>FY22</c:v>
                </c:pt>
                <c:pt idx="2">
                  <c:v>FY23</c:v>
                </c:pt>
                <c:pt idx="3">
                  <c:v>FY24</c:v>
                </c:pt>
                <c:pt idx="4">
                  <c:v>FY25</c:v>
                </c:pt>
                <c:pt idx="5">
                  <c:v>FY26</c:v>
                </c:pt>
              </c:strCache>
            </c:strRef>
          </c:cat>
          <c:val>
            <c:numRef>
              <c:f>Investment!$C$12:$H$12</c:f>
              <c:numCache>
                <c:formatCode>#,##0;\(#,##0\);\-</c:formatCode>
                <c:ptCount val="6"/>
                <c:pt idx="0">
                  <c:v>606</c:v>
                </c:pt>
                <c:pt idx="1">
                  <c:v>364</c:v>
                </c:pt>
                <c:pt idx="2">
                  <c:v>17876</c:v>
                </c:pt>
                <c:pt idx="3">
                  <c:v>18189</c:v>
                </c:pt>
                <c:pt idx="4">
                  <c:v>18213</c:v>
                </c:pt>
                <c:pt idx="5">
                  <c:v>15274</c:v>
                </c:pt>
              </c:numCache>
            </c:numRef>
          </c:val>
          <c:smooth val="0"/>
          <c:extLst>
            <c:ext xmlns:c16="http://schemas.microsoft.com/office/drawing/2014/chart" uri="{C3380CC4-5D6E-409C-BE32-E72D297353CC}">
              <c16:uniqueId val="{00000001-3994-4084-A2CF-1F139AC2882F}"/>
            </c:ext>
          </c:extLst>
        </c:ser>
        <c:dLbls>
          <c:showLegendKey val="0"/>
          <c:showVal val="0"/>
          <c:showCatName val="0"/>
          <c:showSerName val="0"/>
          <c:showPercent val="0"/>
          <c:showBubbleSize val="0"/>
        </c:dLbls>
        <c:hiLowLines>
          <c:spPr>
            <a:ln w="0">
              <a:noFill/>
            </a:ln>
          </c:spPr>
        </c:hiLowLines>
        <c:marker val="1"/>
        <c:smooth val="0"/>
        <c:axId val="40960527"/>
        <c:axId val="45526447"/>
      </c:lineChart>
      <c:catAx>
        <c:axId val="4218756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9106752"/>
        <c:crosses val="autoZero"/>
        <c:auto val="1"/>
        <c:lblAlgn val="ctr"/>
        <c:lblOffset val="100"/>
        <c:noMultiLvlLbl val="0"/>
      </c:catAx>
      <c:valAx>
        <c:axId val="9910675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Rs crore</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187562"/>
        <c:crosses val="autoZero"/>
        <c:crossBetween val="between"/>
      </c:valAx>
      <c:catAx>
        <c:axId val="40960527"/>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5526447"/>
        <c:crosses val="autoZero"/>
        <c:auto val="1"/>
        <c:lblAlgn val="ctr"/>
        <c:lblOffset val="100"/>
        <c:noMultiLvlLbl val="0"/>
      </c:catAx>
      <c:valAx>
        <c:axId val="45526447"/>
        <c:scaling>
          <c:orientation val="minMax"/>
        </c:scaling>
        <c:delete val="0"/>
        <c:axPos val="r"/>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CWIP, Rs crore</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960527"/>
        <c:crosses val="max"/>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Subscribers (mn) vs ARPU (Rs) — c.75mn subscribers lost while ARPU rose 78%</a:t>
            </a:r>
          </a:p>
        </c:rich>
      </c:tx>
      <c:overlay val="0"/>
      <c:spPr>
        <a:noFill/>
        <a:ln w="0">
          <a:noFill/>
        </a:ln>
      </c:spPr>
    </c:title>
    <c:autoTitleDeleted val="0"/>
    <c:plotArea>
      <c:layout/>
      <c:barChart>
        <c:barDir val="col"/>
        <c:grouping val="clustered"/>
        <c:varyColors val="0"/>
        <c:ser>
          <c:idx val="0"/>
          <c:order val="0"/>
          <c:tx>
            <c:strRef>
              <c:f>'Income Statement'!$B$30</c:f>
              <c:strCache>
                <c:ptCount val="1"/>
                <c:pt idx="0">
                  <c:v>Subscribers (million)</c:v>
                </c:pt>
              </c:strCache>
            </c:strRef>
          </c:tx>
          <c:spPr>
            <a:solidFill>
              <a:srgbClr val="A6A6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Statement'!$C$5:$H$5</c:f>
              <c:strCache>
                <c:ptCount val="6"/>
                <c:pt idx="0">
                  <c:v>FY21</c:v>
                </c:pt>
                <c:pt idx="1">
                  <c:v>FY22</c:v>
                </c:pt>
                <c:pt idx="2">
                  <c:v>FY23</c:v>
                </c:pt>
                <c:pt idx="3">
                  <c:v>FY24</c:v>
                </c:pt>
                <c:pt idx="4">
                  <c:v>FY25</c:v>
                </c:pt>
                <c:pt idx="5">
                  <c:v>FY26</c:v>
                </c:pt>
              </c:strCache>
            </c:strRef>
          </c:cat>
          <c:val>
            <c:numRef>
              <c:f>'Income Statement'!$C$30:$H$30</c:f>
              <c:numCache>
                <c:formatCode>#,##0.0;\(#,##0.0\);\-</c:formatCode>
                <c:ptCount val="6"/>
                <c:pt idx="0">
                  <c:v>267.8</c:v>
                </c:pt>
                <c:pt idx="1">
                  <c:v>243.8</c:v>
                </c:pt>
                <c:pt idx="2">
                  <c:v>225.9</c:v>
                </c:pt>
                <c:pt idx="3">
                  <c:v>212.6</c:v>
                </c:pt>
                <c:pt idx="4">
                  <c:v>198.2</c:v>
                </c:pt>
                <c:pt idx="5">
                  <c:v>192.8</c:v>
                </c:pt>
              </c:numCache>
            </c:numRef>
          </c:val>
          <c:extLst>
            <c:ext xmlns:c16="http://schemas.microsoft.com/office/drawing/2014/chart" uri="{C3380CC4-5D6E-409C-BE32-E72D297353CC}">
              <c16:uniqueId val="{00000000-CD7D-45F2-A745-D09CA4B0106A}"/>
            </c:ext>
          </c:extLst>
        </c:ser>
        <c:dLbls>
          <c:showLegendKey val="0"/>
          <c:showVal val="0"/>
          <c:showCatName val="0"/>
          <c:showSerName val="0"/>
          <c:showPercent val="0"/>
          <c:showBubbleSize val="0"/>
        </c:dLbls>
        <c:gapWidth val="150"/>
        <c:axId val="11820486"/>
        <c:axId val="21133549"/>
      </c:barChart>
      <c:lineChart>
        <c:grouping val="standard"/>
        <c:varyColors val="0"/>
        <c:ser>
          <c:idx val="1"/>
          <c:order val="1"/>
          <c:tx>
            <c:strRef>
              <c:f>'Income Statement'!$B$32</c:f>
              <c:strCache>
                <c:ptCount val="1"/>
                <c:pt idx="0">
                  <c:v>ARPU (₹ per month)</c:v>
                </c:pt>
              </c:strCache>
            </c:strRef>
          </c:tx>
          <c:spPr>
            <a:ln w="28080">
              <a:solidFill>
                <a:srgbClr val="C0392B"/>
              </a:solidFill>
              <a:round/>
            </a:ln>
          </c:spPr>
          <c:marker>
            <c:symbol val="circle"/>
            <c:size val="6"/>
            <c:spPr>
              <a:solidFill>
                <a:srgbClr val="C0392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Statement'!$C$5:$H$5</c:f>
              <c:strCache>
                <c:ptCount val="6"/>
                <c:pt idx="0">
                  <c:v>FY21</c:v>
                </c:pt>
                <c:pt idx="1">
                  <c:v>FY22</c:v>
                </c:pt>
                <c:pt idx="2">
                  <c:v>FY23</c:v>
                </c:pt>
                <c:pt idx="3">
                  <c:v>FY24</c:v>
                </c:pt>
                <c:pt idx="4">
                  <c:v>FY25</c:v>
                </c:pt>
                <c:pt idx="5">
                  <c:v>FY26</c:v>
                </c:pt>
              </c:strCache>
            </c:strRef>
          </c:cat>
          <c:val>
            <c:numRef>
              <c:f>'Income Statement'!$C$32:$H$32</c:f>
              <c:numCache>
                <c:formatCode>#,##0;\(#,##0\);\-</c:formatCode>
                <c:ptCount val="6"/>
                <c:pt idx="0">
                  <c:v>107</c:v>
                </c:pt>
                <c:pt idx="1">
                  <c:v>124</c:v>
                </c:pt>
                <c:pt idx="2">
                  <c:v>135</c:v>
                </c:pt>
                <c:pt idx="3">
                  <c:v>146</c:v>
                </c:pt>
                <c:pt idx="4">
                  <c:v>175</c:v>
                </c:pt>
                <c:pt idx="5">
                  <c:v>190</c:v>
                </c:pt>
              </c:numCache>
            </c:numRef>
          </c:val>
          <c:smooth val="0"/>
          <c:extLst>
            <c:ext xmlns:c16="http://schemas.microsoft.com/office/drawing/2014/chart" uri="{C3380CC4-5D6E-409C-BE32-E72D297353CC}">
              <c16:uniqueId val="{00000001-CD7D-45F2-A745-D09CA4B0106A}"/>
            </c:ext>
          </c:extLst>
        </c:ser>
        <c:dLbls>
          <c:showLegendKey val="0"/>
          <c:showVal val="0"/>
          <c:showCatName val="0"/>
          <c:showSerName val="0"/>
          <c:showPercent val="0"/>
          <c:showBubbleSize val="0"/>
        </c:dLbls>
        <c:hiLowLines>
          <c:spPr>
            <a:ln w="0">
              <a:noFill/>
            </a:ln>
          </c:spPr>
        </c:hiLowLines>
        <c:marker val="1"/>
        <c:smooth val="0"/>
        <c:axId val="54809426"/>
        <c:axId val="14948104"/>
      </c:lineChart>
      <c:catAx>
        <c:axId val="1182048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133549"/>
        <c:crosses val="autoZero"/>
        <c:auto val="1"/>
        <c:lblAlgn val="ctr"/>
        <c:lblOffset val="100"/>
        <c:noMultiLvlLbl val="0"/>
      </c:catAx>
      <c:valAx>
        <c:axId val="2113354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Subscribers, million</a:t>
                </a:r>
              </a:p>
            </c:rich>
          </c:tx>
          <c:overlay val="0"/>
          <c:spPr>
            <a:noFill/>
            <a:ln w="0">
              <a:noFill/>
            </a:ln>
          </c:spPr>
        </c:title>
        <c:numFmt formatCode="#,##0.0;\(#,##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1820486"/>
        <c:crosses val="autoZero"/>
        <c:crossBetween val="between"/>
      </c:valAx>
      <c:catAx>
        <c:axId val="5480942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948104"/>
        <c:crosses val="autoZero"/>
        <c:auto val="1"/>
        <c:lblAlgn val="ctr"/>
        <c:lblOffset val="100"/>
        <c:noMultiLvlLbl val="0"/>
      </c:catAx>
      <c:valAx>
        <c:axId val="14948104"/>
        <c:scaling>
          <c:orientation val="minMax"/>
        </c:scaling>
        <c:delete val="0"/>
        <c:axPos val="r"/>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ARPU, Rs/month</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4809426"/>
        <c:crosses val="max"/>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Shareholding by Category — the creditor became the owner (GoI 0% to 49.0%)</a:t>
            </a:r>
          </a:p>
        </c:rich>
      </c:tx>
      <c:overlay val="0"/>
      <c:spPr>
        <a:noFill/>
        <a:ln w="0">
          <a:noFill/>
        </a:ln>
      </c:spPr>
    </c:title>
    <c:autoTitleDeleted val="0"/>
    <c:plotArea>
      <c:layout/>
      <c:barChart>
        <c:barDir val="col"/>
        <c:grouping val="percentStacked"/>
        <c:varyColors val="0"/>
        <c:ser>
          <c:idx val="0"/>
          <c:order val="0"/>
          <c:tx>
            <c:strRef>
              <c:f>Financing!$B$15</c:f>
              <c:strCache>
                <c:ptCount val="1"/>
                <c:pt idx="0">
                  <c:v>Government of India</c:v>
                </c:pt>
              </c:strCache>
            </c:strRef>
          </c:tx>
          <c:spPr>
            <a:solidFill>
              <a:srgbClr val="C0392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Financing!$C$5:$H$5</c:f>
              <c:strCache>
                <c:ptCount val="6"/>
                <c:pt idx="0">
                  <c:v>FY21</c:v>
                </c:pt>
                <c:pt idx="1">
                  <c:v>FY22</c:v>
                </c:pt>
                <c:pt idx="2">
                  <c:v>FY23</c:v>
                </c:pt>
                <c:pt idx="3">
                  <c:v>FY24</c:v>
                </c:pt>
                <c:pt idx="4">
                  <c:v>FY25</c:v>
                </c:pt>
                <c:pt idx="5">
                  <c:v>FY26</c:v>
                </c:pt>
              </c:strCache>
            </c:strRef>
          </c:cat>
          <c:val>
            <c:numRef>
              <c:f>Financing!$C$15:$H$15</c:f>
              <c:numCache>
                <c:formatCode>0.0%;\(0.0%\);\-</c:formatCode>
                <c:ptCount val="6"/>
                <c:pt idx="0">
                  <c:v>0</c:v>
                </c:pt>
                <c:pt idx="1">
                  <c:v>0</c:v>
                </c:pt>
                <c:pt idx="2">
                  <c:v>0.33179999999999998</c:v>
                </c:pt>
                <c:pt idx="3">
                  <c:v>0.32229999999999998</c:v>
                </c:pt>
                <c:pt idx="4">
                  <c:v>0.2263</c:v>
                </c:pt>
                <c:pt idx="5">
                  <c:v>0.49020000000000002</c:v>
                </c:pt>
              </c:numCache>
            </c:numRef>
          </c:val>
          <c:extLst>
            <c:ext xmlns:c16="http://schemas.microsoft.com/office/drawing/2014/chart" uri="{C3380CC4-5D6E-409C-BE32-E72D297353CC}">
              <c16:uniqueId val="{00000000-6D07-4FDC-9278-33CA8A79E358}"/>
            </c:ext>
          </c:extLst>
        </c:ser>
        <c:ser>
          <c:idx val="1"/>
          <c:order val="1"/>
          <c:tx>
            <c:strRef>
              <c:f>Financing!$B$16</c:f>
              <c:strCache>
                <c:ptCount val="1"/>
                <c:pt idx="0">
                  <c:v>Promoter group (Vodafone Group + Aditya Birla Group)</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Financing!$C$5:$H$5</c:f>
              <c:strCache>
                <c:ptCount val="6"/>
                <c:pt idx="0">
                  <c:v>FY21</c:v>
                </c:pt>
                <c:pt idx="1">
                  <c:v>FY22</c:v>
                </c:pt>
                <c:pt idx="2">
                  <c:v>FY23</c:v>
                </c:pt>
                <c:pt idx="3">
                  <c:v>FY24</c:v>
                </c:pt>
                <c:pt idx="4">
                  <c:v>FY25</c:v>
                </c:pt>
                <c:pt idx="5">
                  <c:v>FY26</c:v>
                </c:pt>
              </c:strCache>
            </c:strRef>
          </c:cat>
          <c:val>
            <c:numRef>
              <c:f>Financing!$C$16:$H$16</c:f>
              <c:numCache>
                <c:formatCode>0.0%;\(0.0%\);\-</c:formatCode>
                <c:ptCount val="6"/>
                <c:pt idx="0">
                  <c:v>0.72050000000000003</c:v>
                </c:pt>
                <c:pt idx="1">
                  <c:v>0.74990000000000001</c:v>
                </c:pt>
                <c:pt idx="2">
                  <c:v>0.50360000000000005</c:v>
                </c:pt>
                <c:pt idx="3">
                  <c:v>0.48909999999999998</c:v>
                </c:pt>
                <c:pt idx="4">
                  <c:v>0.38800000000000001</c:v>
                </c:pt>
                <c:pt idx="5">
                  <c:v>0.25640000000000002</c:v>
                </c:pt>
              </c:numCache>
            </c:numRef>
          </c:val>
          <c:extLst>
            <c:ext xmlns:c16="http://schemas.microsoft.com/office/drawing/2014/chart" uri="{C3380CC4-5D6E-409C-BE32-E72D297353CC}">
              <c16:uniqueId val="{00000001-6D07-4FDC-9278-33CA8A79E358}"/>
            </c:ext>
          </c:extLst>
        </c:ser>
        <c:ser>
          <c:idx val="2"/>
          <c:order val="2"/>
          <c:tx>
            <c:strRef>
              <c:f>Financing!$B$17</c:f>
              <c:strCache>
                <c:ptCount val="1"/>
                <c:pt idx="0">
                  <c:v>Institutional (FII + DII)</c:v>
                </c:pt>
              </c:strCache>
            </c:strRef>
          </c:tx>
          <c:spPr>
            <a:solidFill>
              <a:srgbClr val="1F7A6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Financing!$C$5:$H$5</c:f>
              <c:strCache>
                <c:ptCount val="6"/>
                <c:pt idx="0">
                  <c:v>FY21</c:v>
                </c:pt>
                <c:pt idx="1">
                  <c:v>FY22</c:v>
                </c:pt>
                <c:pt idx="2">
                  <c:v>FY23</c:v>
                </c:pt>
                <c:pt idx="3">
                  <c:v>FY24</c:v>
                </c:pt>
                <c:pt idx="4">
                  <c:v>FY25</c:v>
                </c:pt>
                <c:pt idx="5">
                  <c:v>FY26</c:v>
                </c:pt>
              </c:strCache>
            </c:strRef>
          </c:cat>
          <c:val>
            <c:numRef>
              <c:f>Financing!$C$17:$H$17</c:f>
              <c:numCache>
                <c:formatCode>0.0%;\(0.0%\);\-</c:formatCode>
                <c:ptCount val="6"/>
                <c:pt idx="0">
                  <c:v>5.67E-2</c:v>
                </c:pt>
                <c:pt idx="1">
                  <c:v>5.28E-2</c:v>
                </c:pt>
                <c:pt idx="2">
                  <c:v>2.8199999999999999E-2</c:v>
                </c:pt>
                <c:pt idx="3">
                  <c:v>4.1700000000000001E-2</c:v>
                </c:pt>
                <c:pt idx="4">
                  <c:v>0.15</c:v>
                </c:pt>
                <c:pt idx="5">
                  <c:v>0.11749999999999999</c:v>
                </c:pt>
              </c:numCache>
            </c:numRef>
          </c:val>
          <c:extLst>
            <c:ext xmlns:c16="http://schemas.microsoft.com/office/drawing/2014/chart" uri="{C3380CC4-5D6E-409C-BE32-E72D297353CC}">
              <c16:uniqueId val="{00000002-6D07-4FDC-9278-33CA8A79E358}"/>
            </c:ext>
          </c:extLst>
        </c:ser>
        <c:ser>
          <c:idx val="3"/>
          <c:order val="3"/>
          <c:tx>
            <c:strRef>
              <c:f>Financing!$B$18</c:f>
              <c:strCache>
                <c:ptCount val="1"/>
                <c:pt idx="0">
                  <c:v>Public &amp; others</c:v>
                </c:pt>
              </c:strCache>
            </c:strRef>
          </c:tx>
          <c:spPr>
            <a:solidFill>
              <a:srgbClr val="A6A6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Financing!$C$5:$H$5</c:f>
              <c:strCache>
                <c:ptCount val="6"/>
                <c:pt idx="0">
                  <c:v>FY21</c:v>
                </c:pt>
                <c:pt idx="1">
                  <c:v>FY22</c:v>
                </c:pt>
                <c:pt idx="2">
                  <c:v>FY23</c:v>
                </c:pt>
                <c:pt idx="3">
                  <c:v>FY24</c:v>
                </c:pt>
                <c:pt idx="4">
                  <c:v>FY25</c:v>
                </c:pt>
                <c:pt idx="5">
                  <c:v>FY26</c:v>
                </c:pt>
              </c:strCache>
            </c:strRef>
          </c:cat>
          <c:val>
            <c:numRef>
              <c:f>Financing!$C$18:$H$18</c:f>
              <c:numCache>
                <c:formatCode>0.0%;\(0.0%\);\-</c:formatCode>
                <c:ptCount val="6"/>
                <c:pt idx="0">
                  <c:v>0.22279999999999997</c:v>
                </c:pt>
                <c:pt idx="1">
                  <c:v>0.19729999999999998</c:v>
                </c:pt>
                <c:pt idx="2">
                  <c:v>0.13639999999999997</c:v>
                </c:pt>
                <c:pt idx="3">
                  <c:v>0.14689999999999998</c:v>
                </c:pt>
                <c:pt idx="4">
                  <c:v>0.23570000000000005</c:v>
                </c:pt>
                <c:pt idx="5">
                  <c:v>0.13590000000000002</c:v>
                </c:pt>
              </c:numCache>
            </c:numRef>
          </c:val>
          <c:extLst>
            <c:ext xmlns:c16="http://schemas.microsoft.com/office/drawing/2014/chart" uri="{C3380CC4-5D6E-409C-BE32-E72D297353CC}">
              <c16:uniqueId val="{00000003-6D07-4FDC-9278-33CA8A79E358}"/>
            </c:ext>
          </c:extLst>
        </c:ser>
        <c:dLbls>
          <c:showLegendKey val="0"/>
          <c:showVal val="0"/>
          <c:showCatName val="0"/>
          <c:showSerName val="0"/>
          <c:showPercent val="0"/>
          <c:showBubbleSize val="0"/>
        </c:dLbls>
        <c:gapWidth val="150"/>
        <c:overlap val="100"/>
        <c:axId val="74259284"/>
        <c:axId val="28454148"/>
      </c:barChart>
      <c:catAx>
        <c:axId val="7425928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8454148"/>
        <c:crosses val="autoZero"/>
        <c:auto val="1"/>
        <c:lblAlgn val="ctr"/>
        <c:lblOffset val="100"/>
        <c:noMultiLvlLbl val="0"/>
      </c:catAx>
      <c:valAx>
        <c:axId val="2845414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Share of equity (%)</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4259284"/>
        <c:crosses val="autoZero"/>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Calibri"/>
              </a:defRPr>
            </a:pPr>
            <a:r>
              <a:rPr lang="en-IN" sz="1200" b="1" strike="noStrike" spc="-1">
                <a:solidFill>
                  <a:srgbClr val="000000"/>
                </a:solidFill>
                <a:latin typeface="Calibri"/>
              </a:rPr>
              <a:t>Net Worth vs Equity Share Capital (Rs cr) — dilution offset a still-negative net worth</a:t>
            </a:r>
          </a:p>
        </c:rich>
      </c:tx>
      <c:overlay val="0"/>
      <c:spPr>
        <a:noFill/>
        <a:ln w="0">
          <a:noFill/>
        </a:ln>
      </c:spPr>
    </c:title>
    <c:autoTitleDeleted val="0"/>
    <c:plotArea>
      <c:layout/>
      <c:barChart>
        <c:barDir val="col"/>
        <c:grouping val="clustered"/>
        <c:varyColors val="0"/>
        <c:ser>
          <c:idx val="0"/>
          <c:order val="0"/>
          <c:tx>
            <c:strRef>
              <c:f>Financing!$B$7</c:f>
              <c:strCache>
                <c:ptCount val="1"/>
                <c:pt idx="0">
                  <c:v>Equity share capital (₹ cr, FV ₹10)</c:v>
                </c:pt>
              </c:strCache>
            </c:strRef>
          </c:tx>
          <c:spPr>
            <a:solidFill>
              <a:srgbClr val="D4A01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Financing!$C$5:$H$5</c:f>
              <c:strCache>
                <c:ptCount val="6"/>
                <c:pt idx="0">
                  <c:v>FY21</c:v>
                </c:pt>
                <c:pt idx="1">
                  <c:v>FY22</c:v>
                </c:pt>
                <c:pt idx="2">
                  <c:v>FY23</c:v>
                </c:pt>
                <c:pt idx="3">
                  <c:v>FY24</c:v>
                </c:pt>
                <c:pt idx="4">
                  <c:v>FY25</c:v>
                </c:pt>
                <c:pt idx="5">
                  <c:v>FY26</c:v>
                </c:pt>
              </c:strCache>
            </c:strRef>
          </c:cat>
          <c:val>
            <c:numRef>
              <c:f>Financing!$C$7:$H$7</c:f>
              <c:numCache>
                <c:formatCode>#,##0;\(#,##0\);\-</c:formatCode>
                <c:ptCount val="6"/>
                <c:pt idx="0">
                  <c:v>28735</c:v>
                </c:pt>
                <c:pt idx="1">
                  <c:v>32119</c:v>
                </c:pt>
                <c:pt idx="2">
                  <c:v>48680</c:v>
                </c:pt>
                <c:pt idx="3">
                  <c:v>50120</c:v>
                </c:pt>
                <c:pt idx="4">
                  <c:v>71393</c:v>
                </c:pt>
                <c:pt idx="5">
                  <c:v>108343</c:v>
                </c:pt>
              </c:numCache>
            </c:numRef>
          </c:val>
          <c:extLst>
            <c:ext xmlns:c16="http://schemas.microsoft.com/office/drawing/2014/chart" uri="{C3380CC4-5D6E-409C-BE32-E72D297353CC}">
              <c16:uniqueId val="{00000000-1EA0-415A-ADBD-2BBEC6C1D2EA}"/>
            </c:ext>
          </c:extLst>
        </c:ser>
        <c:dLbls>
          <c:showLegendKey val="0"/>
          <c:showVal val="0"/>
          <c:showCatName val="0"/>
          <c:showSerName val="0"/>
          <c:showPercent val="0"/>
          <c:showBubbleSize val="0"/>
        </c:dLbls>
        <c:gapWidth val="150"/>
        <c:axId val="98944243"/>
        <c:axId val="29599498"/>
      </c:barChart>
      <c:lineChart>
        <c:grouping val="standard"/>
        <c:varyColors val="0"/>
        <c:ser>
          <c:idx val="1"/>
          <c:order val="1"/>
          <c:tx>
            <c:strRef>
              <c:f>Financing!$B$10</c:f>
              <c:strCache>
                <c:ptCount val="1"/>
                <c:pt idx="0">
                  <c:v>Net worth (₹ cr)</c:v>
                </c:pt>
              </c:strCache>
            </c:strRef>
          </c:tx>
          <c:spPr>
            <a:ln w="28080">
              <a:solidFill>
                <a:srgbClr val="C0392B"/>
              </a:solidFill>
              <a:round/>
            </a:ln>
          </c:spPr>
          <c:marker>
            <c:symbol val="circle"/>
            <c:size val="6"/>
            <c:spPr>
              <a:solidFill>
                <a:srgbClr val="C0392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Financing!$C$5:$H$5</c:f>
              <c:strCache>
                <c:ptCount val="6"/>
                <c:pt idx="0">
                  <c:v>FY21</c:v>
                </c:pt>
                <c:pt idx="1">
                  <c:v>FY22</c:v>
                </c:pt>
                <c:pt idx="2">
                  <c:v>FY23</c:v>
                </c:pt>
                <c:pt idx="3">
                  <c:v>FY24</c:v>
                </c:pt>
                <c:pt idx="4">
                  <c:v>FY25</c:v>
                </c:pt>
                <c:pt idx="5">
                  <c:v>FY26</c:v>
                </c:pt>
              </c:strCache>
            </c:strRef>
          </c:cat>
          <c:val>
            <c:numRef>
              <c:f>Financing!$C$10:$H$10</c:f>
              <c:numCache>
                <c:formatCode>#,##0;\(#,##0\);\-</c:formatCode>
                <c:ptCount val="6"/>
                <c:pt idx="0">
                  <c:v>-38228</c:v>
                </c:pt>
                <c:pt idx="1">
                  <c:v>-61965</c:v>
                </c:pt>
                <c:pt idx="2">
                  <c:v>-74359</c:v>
                </c:pt>
                <c:pt idx="3">
                  <c:v>-104167</c:v>
                </c:pt>
                <c:pt idx="4">
                  <c:v>-70320</c:v>
                </c:pt>
                <c:pt idx="5">
                  <c:v>-35758</c:v>
                </c:pt>
              </c:numCache>
            </c:numRef>
          </c:val>
          <c:smooth val="0"/>
          <c:extLst>
            <c:ext xmlns:c16="http://schemas.microsoft.com/office/drawing/2014/chart" uri="{C3380CC4-5D6E-409C-BE32-E72D297353CC}">
              <c16:uniqueId val="{00000001-1EA0-415A-ADBD-2BBEC6C1D2EA}"/>
            </c:ext>
          </c:extLst>
        </c:ser>
        <c:dLbls>
          <c:showLegendKey val="0"/>
          <c:showVal val="0"/>
          <c:showCatName val="0"/>
          <c:showSerName val="0"/>
          <c:showPercent val="0"/>
          <c:showBubbleSize val="0"/>
        </c:dLbls>
        <c:hiLowLines>
          <c:spPr>
            <a:ln w="0">
              <a:noFill/>
            </a:ln>
          </c:spPr>
        </c:hiLowLines>
        <c:marker val="1"/>
        <c:smooth val="0"/>
        <c:axId val="98944243"/>
        <c:axId val="29599498"/>
      </c:lineChart>
      <c:catAx>
        <c:axId val="9894424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599498"/>
        <c:crosses val="autoZero"/>
        <c:auto val="1"/>
        <c:lblAlgn val="ctr"/>
        <c:lblOffset val="100"/>
        <c:noMultiLvlLbl val="0"/>
      </c:catAx>
      <c:valAx>
        <c:axId val="2959949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Rs crore</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8944243"/>
        <c:crosses val="autoZero"/>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559369188346636E-2"/>
          <c:y val="0.17436232926211681"/>
          <c:w val="0.87549628714287353"/>
          <c:h val="0.77986126505079556"/>
        </c:manualLayout>
      </c:layout>
      <c:lineChart>
        <c:grouping val="standard"/>
        <c:varyColors val="0"/>
        <c:ser>
          <c:idx val="0"/>
          <c:order val="0"/>
          <c:tx>
            <c:strRef>
              <c:f>Ratios!$B$33</c:f>
              <c:strCache>
                <c:ptCount val="1"/>
                <c:pt idx="0">
                  <c:v>Z'' score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Ratios!$C$33:$H$33</c:f>
              <c:numCache>
                <c:formatCode>0.00</c:formatCode>
                <c:ptCount val="6"/>
                <c:pt idx="0">
                  <c:v>-3.1461302410588523</c:v>
                </c:pt>
                <c:pt idx="1">
                  <c:v>-3.5964163624516243</c:v>
                </c:pt>
                <c:pt idx="2">
                  <c:v>-3.8768184164408503</c:v>
                </c:pt>
                <c:pt idx="3">
                  <c:v>-4.7612053079199965</c:v>
                </c:pt>
                <c:pt idx="4">
                  <c:v>-3.5584005342070442</c:v>
                </c:pt>
                <c:pt idx="5">
                  <c:v>-3.3402777382130755</c:v>
                </c:pt>
              </c:numCache>
            </c:numRef>
          </c:val>
          <c:smooth val="0"/>
          <c:extLst>
            <c:ext xmlns:c16="http://schemas.microsoft.com/office/drawing/2014/chart" uri="{C3380CC4-5D6E-409C-BE32-E72D297353CC}">
              <c16:uniqueId val="{00000000-915C-4E4E-9CE3-5596103E8020}"/>
            </c:ext>
          </c:extLst>
        </c:ser>
        <c:dLbls>
          <c:dLblPos val="t"/>
          <c:showLegendKey val="0"/>
          <c:showVal val="1"/>
          <c:showCatName val="0"/>
          <c:showSerName val="0"/>
          <c:showPercent val="0"/>
          <c:showBubbleSize val="0"/>
        </c:dLbls>
        <c:smooth val="0"/>
        <c:axId val="936101280"/>
        <c:axId val="420334896"/>
      </c:lineChart>
      <c:catAx>
        <c:axId val="93610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334896"/>
        <c:crosses val="autoZero"/>
        <c:auto val="1"/>
        <c:lblAlgn val="ctr"/>
        <c:lblOffset val="100"/>
        <c:noMultiLvlLbl val="0"/>
      </c:catAx>
      <c:valAx>
        <c:axId val="420334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101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130680</xdr:rowOff>
    </xdr:from>
    <xdr:to>
      <xdr:col>11</xdr:col>
      <xdr:colOff>364680</xdr:colOff>
      <xdr:row>20</xdr:row>
      <xdr:rowOff>131760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xdr:row>
      <xdr:rowOff>130680</xdr:rowOff>
    </xdr:from>
    <xdr:to>
      <xdr:col>20</xdr:col>
      <xdr:colOff>59760</xdr:colOff>
      <xdr:row>20</xdr:row>
      <xdr:rowOff>131760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22</xdr:row>
      <xdr:rowOff>131040</xdr:rowOff>
    </xdr:from>
    <xdr:to>
      <xdr:col>11</xdr:col>
      <xdr:colOff>364680</xdr:colOff>
      <xdr:row>39</xdr:row>
      <xdr:rowOff>132120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22</xdr:row>
      <xdr:rowOff>131040</xdr:rowOff>
    </xdr:from>
    <xdr:to>
      <xdr:col>20</xdr:col>
      <xdr:colOff>59760</xdr:colOff>
      <xdr:row>39</xdr:row>
      <xdr:rowOff>132120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41</xdr:row>
      <xdr:rowOff>131040</xdr:rowOff>
    </xdr:from>
    <xdr:to>
      <xdr:col>11</xdr:col>
      <xdr:colOff>364680</xdr:colOff>
      <xdr:row>58</xdr:row>
      <xdr:rowOff>132120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41</xdr:row>
      <xdr:rowOff>131040</xdr:rowOff>
    </xdr:from>
    <xdr:to>
      <xdr:col>20</xdr:col>
      <xdr:colOff>59760</xdr:colOff>
      <xdr:row>58</xdr:row>
      <xdr:rowOff>132120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60</xdr:row>
      <xdr:rowOff>130680</xdr:rowOff>
    </xdr:from>
    <xdr:to>
      <xdr:col>11</xdr:col>
      <xdr:colOff>364680</xdr:colOff>
      <xdr:row>77</xdr:row>
      <xdr:rowOff>132120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60</xdr:row>
      <xdr:rowOff>130680</xdr:rowOff>
    </xdr:from>
    <xdr:to>
      <xdr:col>20</xdr:col>
      <xdr:colOff>59760</xdr:colOff>
      <xdr:row>77</xdr:row>
      <xdr:rowOff>132120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0</xdr:colOff>
      <xdr:row>79</xdr:row>
      <xdr:rowOff>130680</xdr:rowOff>
    </xdr:from>
    <xdr:to>
      <xdr:col>11</xdr:col>
      <xdr:colOff>364680</xdr:colOff>
      <xdr:row>96</xdr:row>
      <xdr:rowOff>131760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0</xdr:colOff>
      <xdr:row>79</xdr:row>
      <xdr:rowOff>130680</xdr:rowOff>
    </xdr:from>
    <xdr:to>
      <xdr:col>20</xdr:col>
      <xdr:colOff>59760</xdr:colOff>
      <xdr:row>96</xdr:row>
      <xdr:rowOff>131760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185433</xdr:colOff>
      <xdr:row>35</xdr:row>
      <xdr:rowOff>38746</xdr:rowOff>
    </xdr:from>
    <xdr:to>
      <xdr:col>10</xdr:col>
      <xdr:colOff>439118</xdr:colOff>
      <xdr:row>48</xdr:row>
      <xdr:rowOff>156211</xdr:rowOff>
    </xdr:to>
    <xdr:graphicFrame macro="">
      <xdr:nvGraphicFramePr>
        <xdr:cNvPr id="2" name="Chart 1">
          <a:extLst>
            <a:ext uri="{FF2B5EF4-FFF2-40B4-BE49-F238E27FC236}">
              <a16:creationId xmlns:a16="http://schemas.microsoft.com/office/drawing/2014/main" id="{5FDB8176-D037-6154-4593-F20EBDD60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4"/>
  <sheetViews>
    <sheetView showGridLines="0" topLeftCell="A14" zoomScaleNormal="100" workbookViewId="0"/>
  </sheetViews>
  <sheetFormatPr defaultColWidth="8.6640625" defaultRowHeight="14.4" x14ac:dyDescent="0.3"/>
  <cols>
    <col min="1" max="1" width="2" customWidth="1"/>
    <col min="2" max="2" width="30" customWidth="1"/>
    <col min="3" max="3" width="95" customWidth="1"/>
  </cols>
  <sheetData>
    <row r="2" spans="2:3" ht="19.5" customHeight="1" x14ac:dyDescent="0.4">
      <c r="B2" s="5" t="s">
        <v>0</v>
      </c>
    </row>
    <row r="3" spans="2:3" ht="15" customHeight="1" x14ac:dyDescent="0.3">
      <c r="B3" s="6" t="s">
        <v>1</v>
      </c>
    </row>
    <row r="5" spans="2:3" ht="15" customHeight="1" x14ac:dyDescent="0.3">
      <c r="B5" s="7" t="s">
        <v>2</v>
      </c>
      <c r="C5" s="8"/>
    </row>
    <row r="6" spans="2:3" ht="25.5" customHeight="1" x14ac:dyDescent="0.3">
      <c r="B6" s="9" t="s">
        <v>3</v>
      </c>
      <c r="C6" s="10" t="s">
        <v>4</v>
      </c>
    </row>
    <row r="7" spans="2:3" ht="25.5" customHeight="1" x14ac:dyDescent="0.3">
      <c r="B7" s="9" t="s">
        <v>5</v>
      </c>
      <c r="C7" s="10" t="s">
        <v>6</v>
      </c>
    </row>
    <row r="8" spans="2:3" ht="39" customHeight="1" x14ac:dyDescent="0.3">
      <c r="B8" s="9" t="s">
        <v>7</v>
      </c>
      <c r="C8" s="10" t="s">
        <v>8</v>
      </c>
    </row>
    <row r="9" spans="2:3" ht="15" customHeight="1" x14ac:dyDescent="0.3">
      <c r="B9" s="7" t="s">
        <v>9</v>
      </c>
      <c r="C9" s="8"/>
    </row>
    <row r="10" spans="2:3" ht="25.5" customHeight="1" x14ac:dyDescent="0.3">
      <c r="B10" s="9" t="s">
        <v>10</v>
      </c>
      <c r="C10" s="10" t="s">
        <v>11</v>
      </c>
    </row>
    <row r="11" spans="2:3" ht="25.5" customHeight="1" x14ac:dyDescent="0.3">
      <c r="B11" s="9" t="s">
        <v>12</v>
      </c>
      <c r="C11" s="10" t="s">
        <v>13</v>
      </c>
    </row>
    <row r="12" spans="2:3" ht="25.5" customHeight="1" x14ac:dyDescent="0.3">
      <c r="B12" s="9" t="s">
        <v>14</v>
      </c>
      <c r="C12" s="10" t="s">
        <v>15</v>
      </c>
    </row>
    <row r="13" spans="2:3" ht="15" customHeight="1" x14ac:dyDescent="0.3">
      <c r="B13" s="7" t="s">
        <v>16</v>
      </c>
      <c r="C13" s="8"/>
    </row>
    <row r="14" spans="2:3" ht="64.5" customHeight="1" x14ac:dyDescent="0.3">
      <c r="B14" s="9" t="s">
        <v>17</v>
      </c>
      <c r="C14" s="10" t="s">
        <v>18</v>
      </c>
    </row>
    <row r="15" spans="2:3" ht="25.5" customHeight="1" x14ac:dyDescent="0.3">
      <c r="B15" s="9" t="s">
        <v>19</v>
      </c>
      <c r="C15" s="10" t="s">
        <v>20</v>
      </c>
    </row>
    <row r="16" spans="2:3" ht="39" customHeight="1" x14ac:dyDescent="0.3">
      <c r="B16" s="9" t="s">
        <v>21</v>
      </c>
      <c r="C16" s="10" t="s">
        <v>22</v>
      </c>
    </row>
    <row r="17" spans="2:3" ht="39" customHeight="1" x14ac:dyDescent="0.3">
      <c r="B17" s="9" t="s">
        <v>23</v>
      </c>
      <c r="C17" s="10" t="s">
        <v>24</v>
      </c>
    </row>
    <row r="18" spans="2:3" ht="15" customHeight="1" x14ac:dyDescent="0.3">
      <c r="B18" s="7" t="s">
        <v>25</v>
      </c>
      <c r="C18" s="8"/>
    </row>
    <row r="19" spans="2:3" ht="25.5" customHeight="1" x14ac:dyDescent="0.3">
      <c r="B19" s="9" t="s">
        <v>26</v>
      </c>
      <c r="C19" s="10" t="s">
        <v>27</v>
      </c>
    </row>
    <row r="20" spans="2:3" ht="25.5" customHeight="1" x14ac:dyDescent="0.3">
      <c r="B20" s="9" t="s">
        <v>28</v>
      </c>
      <c r="C20" s="10" t="s">
        <v>29</v>
      </c>
    </row>
    <row r="21" spans="2:3" ht="25.5" customHeight="1" x14ac:dyDescent="0.3">
      <c r="B21" s="9" t="s">
        <v>30</v>
      </c>
      <c r="C21" s="10" t="s">
        <v>31</v>
      </c>
    </row>
    <row r="22" spans="2:3" ht="25.5" customHeight="1" x14ac:dyDescent="0.3">
      <c r="B22" s="9" t="s">
        <v>32</v>
      </c>
      <c r="C22" s="10" t="s">
        <v>33</v>
      </c>
    </row>
    <row r="23" spans="2:3" ht="15" customHeight="1" x14ac:dyDescent="0.3">
      <c r="B23" s="7" t="s">
        <v>34</v>
      </c>
      <c r="C23" s="8"/>
    </row>
    <row r="24" spans="2:3" ht="25.5" customHeight="1" x14ac:dyDescent="0.3">
      <c r="B24" s="9"/>
      <c r="C24" s="10"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7"/>
  <sheetViews>
    <sheetView showGridLines="0" topLeftCell="C57" zoomScaleNormal="100" workbookViewId="0"/>
  </sheetViews>
  <sheetFormatPr defaultColWidth="8.6640625" defaultRowHeight="14.4" x14ac:dyDescent="0.3"/>
  <cols>
    <col min="1" max="1" width="2" customWidth="1"/>
    <col min="19" max="19" width="13" customWidth="1"/>
  </cols>
  <sheetData>
    <row r="1" spans="2:19" x14ac:dyDescent="0.3">
      <c r="S1" s="11" t="s">
        <v>36</v>
      </c>
    </row>
    <row r="2" spans="2:19" ht="21" x14ac:dyDescent="0.4">
      <c r="B2" s="5" t="s">
        <v>37</v>
      </c>
      <c r="S2">
        <v>1</v>
      </c>
    </row>
    <row r="3" spans="2:19" ht="27.75" customHeight="1" x14ac:dyDescent="0.3">
      <c r="B3" s="4" t="s">
        <v>38</v>
      </c>
      <c r="C3" s="4"/>
      <c r="D3" s="4"/>
      <c r="E3" s="4"/>
      <c r="F3" s="4"/>
      <c r="G3" s="4"/>
      <c r="H3" s="4"/>
      <c r="I3" s="4"/>
      <c r="J3" s="4"/>
      <c r="K3" s="4"/>
      <c r="L3" s="4"/>
      <c r="M3" s="4"/>
      <c r="N3" s="4"/>
      <c r="O3" s="4"/>
      <c r="P3" s="4"/>
      <c r="S3">
        <v>1</v>
      </c>
    </row>
    <row r="4" spans="2:19" x14ac:dyDescent="0.3">
      <c r="S4">
        <v>1</v>
      </c>
    </row>
    <row r="5" spans="2:19" x14ac:dyDescent="0.3">
      <c r="S5">
        <v>1</v>
      </c>
    </row>
    <row r="6" spans="2:19" x14ac:dyDescent="0.3">
      <c r="S6">
        <v>1</v>
      </c>
    </row>
    <row r="7" spans="2:19" x14ac:dyDescent="0.3">
      <c r="S7">
        <v>1</v>
      </c>
    </row>
  </sheetData>
  <mergeCells count="1">
    <mergeCell ref="B3:P3"/>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35"/>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40" customWidth="1"/>
    <col min="3" max="8" width="12" customWidth="1"/>
    <col min="9" max="9" width="3" customWidth="1"/>
    <col min="10" max="10" width="58" customWidth="1"/>
  </cols>
  <sheetData>
    <row r="2" spans="2:10" ht="17.25" customHeight="1" x14ac:dyDescent="0.3">
      <c r="B2" s="12" t="s">
        <v>39</v>
      </c>
    </row>
    <row r="3" spans="2:10" ht="15" customHeight="1" x14ac:dyDescent="0.3">
      <c r="B3" s="6" t="s">
        <v>40</v>
      </c>
    </row>
    <row r="5" spans="2:10" ht="18" customHeight="1" x14ac:dyDescent="0.3">
      <c r="B5" s="13" t="s">
        <v>41</v>
      </c>
      <c r="C5" s="14" t="s">
        <v>42</v>
      </c>
      <c r="D5" s="14" t="s">
        <v>43</v>
      </c>
      <c r="E5" s="14" t="s">
        <v>44</v>
      </c>
      <c r="F5" s="14" t="s">
        <v>45</v>
      </c>
      <c r="G5" s="14" t="s">
        <v>46</v>
      </c>
      <c r="H5" s="14" t="s">
        <v>47</v>
      </c>
    </row>
    <row r="6" spans="2:10" ht="15" customHeight="1" x14ac:dyDescent="0.3">
      <c r="B6" s="15" t="s">
        <v>48</v>
      </c>
      <c r="C6" s="16"/>
      <c r="D6" s="16"/>
      <c r="E6" s="16"/>
      <c r="F6" s="16"/>
      <c r="G6" s="16"/>
      <c r="H6" s="16"/>
    </row>
    <row r="7" spans="2:10" ht="15" customHeight="1" x14ac:dyDescent="0.3">
      <c r="B7" s="17" t="s">
        <v>49</v>
      </c>
      <c r="C7" s="18">
        <v>41952</v>
      </c>
      <c r="D7" s="18">
        <v>38516</v>
      </c>
      <c r="E7" s="18">
        <v>42177</v>
      </c>
      <c r="F7" s="18">
        <v>42652</v>
      </c>
      <c r="G7" s="18">
        <v>43572</v>
      </c>
      <c r="H7" s="18">
        <v>44873</v>
      </c>
    </row>
    <row r="8" spans="2:10" ht="15" customHeight="1" x14ac:dyDescent="0.3">
      <c r="B8" s="17" t="s">
        <v>50</v>
      </c>
      <c r="C8" s="19"/>
      <c r="D8" s="19">
        <f ca="1">IF(D7=0,0,D7/OFFSET(D7,0,-1)-1)</f>
        <v>-8.1903127383676555E-2</v>
      </c>
      <c r="E8" s="19">
        <f ca="1">IF(E7=0,0,E7/OFFSET(E7,0,-1)-1)</f>
        <v>9.5051407207394245E-2</v>
      </c>
      <c r="F8" s="19">
        <f ca="1">IF(F7=0,0,F7/OFFSET(F7,0,-1)-1)</f>
        <v>1.1262062261422123E-2</v>
      </c>
      <c r="G8" s="19">
        <f ca="1">IF(G7=0,0,G7/OFFSET(G7,0,-1)-1)</f>
        <v>2.1569914658163825E-2</v>
      </c>
      <c r="H8" s="19">
        <f ca="1">IF(H7=0,0,H7/OFFSET(H7,0,-1)-1)</f>
        <v>2.985862480492063E-2</v>
      </c>
    </row>
    <row r="9" spans="2:10" ht="15" customHeight="1" x14ac:dyDescent="0.3">
      <c r="B9" s="17" t="s">
        <v>51</v>
      </c>
      <c r="C9" s="18">
        <v>16946</v>
      </c>
      <c r="D9" s="18">
        <v>15968</v>
      </c>
      <c r="E9" s="18">
        <v>16753</v>
      </c>
      <c r="F9" s="18">
        <v>17072</v>
      </c>
      <c r="G9" s="18">
        <v>18048</v>
      </c>
      <c r="H9" s="18">
        <v>18859</v>
      </c>
      <c r="J9" s="6" t="s">
        <v>52</v>
      </c>
    </row>
    <row r="10" spans="2:10" ht="15" customHeight="1" x14ac:dyDescent="0.3">
      <c r="B10" s="17" t="s">
        <v>53</v>
      </c>
      <c r="C10" s="19">
        <f t="shared" ref="C10:H10" si="0">IF(C7=0,0,C9/C7)</f>
        <v>0.40393783371472158</v>
      </c>
      <c r="D10" s="19">
        <f t="shared" si="0"/>
        <v>0.41458095337002804</v>
      </c>
      <c r="E10" s="19">
        <f t="shared" si="0"/>
        <v>0.3972070085591673</v>
      </c>
      <c r="F10" s="19">
        <f t="shared" si="0"/>
        <v>0.40026259026540373</v>
      </c>
      <c r="G10" s="19">
        <f t="shared" si="0"/>
        <v>0.41421096116772238</v>
      </c>
      <c r="H10" s="19">
        <f t="shared" si="0"/>
        <v>0.42027499832861631</v>
      </c>
    </row>
    <row r="11" spans="2:10" ht="15" customHeight="1" x14ac:dyDescent="0.3">
      <c r="B11" s="17" t="s">
        <v>54</v>
      </c>
      <c r="C11" s="18">
        <v>23638</v>
      </c>
      <c r="D11" s="18">
        <v>23584</v>
      </c>
      <c r="E11" s="18">
        <v>23050</v>
      </c>
      <c r="F11" s="18">
        <v>22634</v>
      </c>
      <c r="G11" s="18">
        <v>21973</v>
      </c>
      <c r="H11" s="18">
        <v>22108</v>
      </c>
      <c r="J11" s="6" t="s">
        <v>55</v>
      </c>
    </row>
    <row r="12" spans="2:10" ht="15" customHeight="1" x14ac:dyDescent="0.3">
      <c r="B12" s="20" t="s">
        <v>56</v>
      </c>
      <c r="C12" s="21">
        <f t="shared" ref="C12:H12" si="1">C9-C11</f>
        <v>-6692</v>
      </c>
      <c r="D12" s="21">
        <f t="shared" si="1"/>
        <v>-7616</v>
      </c>
      <c r="E12" s="21">
        <f t="shared" si="1"/>
        <v>-6297</v>
      </c>
      <c r="F12" s="21">
        <f t="shared" si="1"/>
        <v>-5562</v>
      </c>
      <c r="G12" s="21">
        <f t="shared" si="1"/>
        <v>-3925</v>
      </c>
      <c r="H12" s="21">
        <f t="shared" si="1"/>
        <v>-3249</v>
      </c>
    </row>
    <row r="13" spans="2:10" ht="15" customHeight="1" x14ac:dyDescent="0.3">
      <c r="B13" s="17" t="s">
        <v>57</v>
      </c>
      <c r="C13" s="18">
        <v>17998</v>
      </c>
      <c r="D13" s="18">
        <v>20981</v>
      </c>
      <c r="E13" s="18">
        <v>23354</v>
      </c>
      <c r="F13" s="18">
        <v>25766</v>
      </c>
      <c r="G13" s="18">
        <v>24543</v>
      </c>
      <c r="H13" s="18">
        <v>21495</v>
      </c>
      <c r="J13" s="6" t="s">
        <v>58</v>
      </c>
    </row>
    <row r="14" spans="2:10" ht="15" customHeight="1" x14ac:dyDescent="0.3">
      <c r="B14" s="17" t="s">
        <v>59</v>
      </c>
      <c r="C14" s="22">
        <f t="shared" ref="C14:H14" si="2">IF(C13=0,0,C9/C13)</f>
        <v>0.94154906100677849</v>
      </c>
      <c r="D14" s="22">
        <f t="shared" si="2"/>
        <v>0.76106953910681097</v>
      </c>
      <c r="E14" s="22">
        <f t="shared" si="2"/>
        <v>0.71735034683565979</v>
      </c>
      <c r="F14" s="22">
        <f t="shared" si="2"/>
        <v>0.6625785919428705</v>
      </c>
      <c r="G14" s="22">
        <f t="shared" si="2"/>
        <v>0.73536242513140204</v>
      </c>
      <c r="H14" s="22">
        <f t="shared" si="2"/>
        <v>0.87736682949523148</v>
      </c>
      <c r="J14" s="6" t="s">
        <v>60</v>
      </c>
    </row>
    <row r="16" spans="2:10" ht="15" customHeight="1" x14ac:dyDescent="0.3">
      <c r="B16" s="15" t="s">
        <v>61</v>
      </c>
      <c r="C16" s="16"/>
      <c r="D16" s="16"/>
      <c r="E16" s="16"/>
      <c r="F16" s="16"/>
      <c r="G16" s="16"/>
      <c r="H16" s="16"/>
    </row>
    <row r="17" spans="2:10" ht="15" customHeight="1" x14ac:dyDescent="0.3">
      <c r="B17" s="17" t="s">
        <v>62</v>
      </c>
      <c r="C17" s="18">
        <v>-44233</v>
      </c>
      <c r="D17" s="18">
        <v>-28245</v>
      </c>
      <c r="E17" s="18">
        <v>-29301</v>
      </c>
      <c r="F17" s="18">
        <v>-31238</v>
      </c>
      <c r="G17" s="18">
        <v>-27384</v>
      </c>
      <c r="H17" s="18">
        <v>-22939</v>
      </c>
      <c r="J17" s="6" t="s">
        <v>63</v>
      </c>
    </row>
    <row r="18" spans="2:10" ht="15" customHeight="1" x14ac:dyDescent="0.3">
      <c r="B18" s="17" t="s">
        <v>64</v>
      </c>
      <c r="C18" s="18">
        <v>0</v>
      </c>
      <c r="D18" s="18">
        <v>0</v>
      </c>
      <c r="E18" s="18">
        <v>0</v>
      </c>
      <c r="F18" s="18">
        <v>0</v>
      </c>
      <c r="G18" s="18">
        <v>0</v>
      </c>
      <c r="H18" s="18">
        <v>57491</v>
      </c>
      <c r="J18" s="6" t="s">
        <v>65</v>
      </c>
    </row>
    <row r="19" spans="2:10" ht="15" customHeight="1" x14ac:dyDescent="0.3">
      <c r="B19" s="20" t="s">
        <v>66</v>
      </c>
      <c r="C19" s="21">
        <f t="shared" ref="C19:H19" si="3">C17+C18</f>
        <v>-44233</v>
      </c>
      <c r="D19" s="21">
        <f t="shared" si="3"/>
        <v>-28245</v>
      </c>
      <c r="E19" s="21">
        <f t="shared" si="3"/>
        <v>-29301</v>
      </c>
      <c r="F19" s="21">
        <f t="shared" si="3"/>
        <v>-31238</v>
      </c>
      <c r="G19" s="21">
        <f t="shared" si="3"/>
        <v>-27384</v>
      </c>
      <c r="H19" s="21">
        <f t="shared" si="3"/>
        <v>34552</v>
      </c>
    </row>
    <row r="20" spans="2:10" ht="15" customHeight="1" x14ac:dyDescent="0.3">
      <c r="B20" s="17" t="s">
        <v>67</v>
      </c>
      <c r="C20" s="19">
        <f t="shared" ref="C20:H20" si="4">IF(C7=0,0,C19/C7)</f>
        <v>-1.0543716628527842</v>
      </c>
      <c r="D20" s="19">
        <f t="shared" si="4"/>
        <v>-0.73333160245092943</v>
      </c>
      <c r="E20" s="19">
        <f t="shared" si="4"/>
        <v>-0.69471512909879796</v>
      </c>
      <c r="F20" s="19">
        <f t="shared" si="4"/>
        <v>-0.73239238488230329</v>
      </c>
      <c r="G20" s="19">
        <f t="shared" si="4"/>
        <v>-0.62847700358028091</v>
      </c>
      <c r="H20" s="19">
        <f t="shared" si="4"/>
        <v>0.76999532012568805</v>
      </c>
    </row>
    <row r="21" spans="2:10" ht="15" customHeight="1" x14ac:dyDescent="0.3">
      <c r="B21" s="17" t="s">
        <v>68</v>
      </c>
      <c r="C21" s="18">
        <v>-38228</v>
      </c>
      <c r="D21" s="18">
        <v>-61965</v>
      </c>
      <c r="E21" s="18">
        <v>-74359</v>
      </c>
      <c r="F21" s="18">
        <v>-104167</v>
      </c>
      <c r="G21" s="18">
        <v>-70320</v>
      </c>
      <c r="H21" s="18">
        <v>-35758</v>
      </c>
      <c r="J21" s="6" t="s">
        <v>69</v>
      </c>
    </row>
    <row r="23" spans="2:10" ht="15" customHeight="1" x14ac:dyDescent="0.3">
      <c r="B23" s="15" t="s">
        <v>70</v>
      </c>
      <c r="C23" s="16"/>
      <c r="D23" s="16"/>
      <c r="E23" s="16"/>
      <c r="F23" s="16"/>
      <c r="G23" s="16"/>
      <c r="H23" s="16"/>
    </row>
    <row r="24" spans="2:10" ht="15" customHeight="1" x14ac:dyDescent="0.3">
      <c r="B24" s="17" t="s">
        <v>71</v>
      </c>
      <c r="C24" s="18">
        <v>15640</v>
      </c>
      <c r="D24" s="18">
        <v>17387</v>
      </c>
      <c r="E24" s="18">
        <v>18869</v>
      </c>
      <c r="F24" s="18">
        <v>20826</v>
      </c>
      <c r="G24" s="18">
        <v>9290</v>
      </c>
      <c r="H24" s="18">
        <v>19411</v>
      </c>
      <c r="J24" s="6" t="s">
        <v>72</v>
      </c>
    </row>
    <row r="25" spans="2:10" ht="15" customHeight="1" x14ac:dyDescent="0.3">
      <c r="B25" s="17" t="s">
        <v>73</v>
      </c>
      <c r="C25" s="18">
        <v>5106</v>
      </c>
      <c r="D25" s="18">
        <v>5992</v>
      </c>
      <c r="E25" s="18">
        <v>5537</v>
      </c>
      <c r="F25" s="18">
        <v>1530</v>
      </c>
      <c r="G25" s="18">
        <v>10220</v>
      </c>
      <c r="H25" s="18">
        <v>10814</v>
      </c>
      <c r="J25" s="6" t="s">
        <v>74</v>
      </c>
    </row>
    <row r="26" spans="2:10" ht="15" customHeight="1" x14ac:dyDescent="0.3">
      <c r="B26" s="20" t="s">
        <v>75</v>
      </c>
      <c r="C26" s="21">
        <f t="shared" ref="C26:H26" si="5">C24-C25</f>
        <v>10534</v>
      </c>
      <c r="D26" s="21">
        <f t="shared" si="5"/>
        <v>11395</v>
      </c>
      <c r="E26" s="21">
        <f t="shared" si="5"/>
        <v>13332</v>
      </c>
      <c r="F26" s="21">
        <f t="shared" si="5"/>
        <v>19296</v>
      </c>
      <c r="G26" s="21">
        <f t="shared" si="5"/>
        <v>-930</v>
      </c>
      <c r="H26" s="21">
        <f t="shared" si="5"/>
        <v>8597</v>
      </c>
    </row>
    <row r="27" spans="2:10" ht="15" customHeight="1" x14ac:dyDescent="0.3">
      <c r="B27" s="17" t="s">
        <v>76</v>
      </c>
      <c r="C27" s="23">
        <f t="shared" ref="C27:H27" si="6">C26-C13</f>
        <v>-7464</v>
      </c>
      <c r="D27" s="23">
        <f t="shared" si="6"/>
        <v>-9586</v>
      </c>
      <c r="E27" s="23">
        <f t="shared" si="6"/>
        <v>-10022</v>
      </c>
      <c r="F27" s="23">
        <f t="shared" si="6"/>
        <v>-6470</v>
      </c>
      <c r="G27" s="23">
        <f t="shared" si="6"/>
        <v>-25473</v>
      </c>
      <c r="H27" s="23">
        <f t="shared" si="6"/>
        <v>-12898</v>
      </c>
      <c r="J27" s="6" t="s">
        <v>77</v>
      </c>
    </row>
    <row r="29" spans="2:10" ht="15" customHeight="1" x14ac:dyDescent="0.3">
      <c r="B29" s="15" t="s">
        <v>78</v>
      </c>
      <c r="C29" s="16"/>
      <c r="D29" s="16"/>
      <c r="E29" s="16"/>
      <c r="F29" s="16"/>
      <c r="G29" s="16"/>
      <c r="H29" s="16"/>
    </row>
    <row r="30" spans="2:10" ht="15" customHeight="1" x14ac:dyDescent="0.3">
      <c r="B30" s="17" t="s">
        <v>79</v>
      </c>
      <c r="C30" s="24">
        <v>267.8</v>
      </c>
      <c r="D30" s="24">
        <v>243.8</v>
      </c>
      <c r="E30" s="24">
        <v>225.9</v>
      </c>
      <c r="F30" s="24">
        <v>212.6</v>
      </c>
      <c r="G30" s="24">
        <v>198.2</v>
      </c>
      <c r="H30" s="24">
        <v>192.8</v>
      </c>
    </row>
    <row r="31" spans="2:10" ht="15" customHeight="1" x14ac:dyDescent="0.3">
      <c r="B31" s="17" t="s">
        <v>80</v>
      </c>
      <c r="C31" s="25"/>
      <c r="D31" s="25">
        <f ca="1">IF(COLUMN()=3,0,D30-OFFSET(D30,0,-1))</f>
        <v>-24</v>
      </c>
      <c r="E31" s="25">
        <f ca="1">IF(COLUMN()=3,0,E30-OFFSET(E30,0,-1))</f>
        <v>-17.900000000000006</v>
      </c>
      <c r="F31" s="25">
        <f ca="1">IF(COLUMN()=3,0,F30-OFFSET(F30,0,-1))</f>
        <v>-13.300000000000011</v>
      </c>
      <c r="G31" s="25">
        <f ca="1">IF(COLUMN()=3,0,G30-OFFSET(G30,0,-1))</f>
        <v>-14.400000000000006</v>
      </c>
      <c r="H31" s="25">
        <f ca="1">IF(COLUMN()=3,0,H30-OFFSET(H30,0,-1))</f>
        <v>-5.3999999999999773</v>
      </c>
    </row>
    <row r="32" spans="2:10" ht="15" customHeight="1" x14ac:dyDescent="0.3">
      <c r="B32" s="17" t="s">
        <v>81</v>
      </c>
      <c r="C32" s="18">
        <v>107</v>
      </c>
      <c r="D32" s="18">
        <v>124</v>
      </c>
      <c r="E32" s="18">
        <v>135</v>
      </c>
      <c r="F32" s="18">
        <v>146</v>
      </c>
      <c r="G32" s="18">
        <v>175</v>
      </c>
      <c r="H32" s="18">
        <v>190</v>
      </c>
      <c r="J32" s="6" t="s">
        <v>82</v>
      </c>
    </row>
    <row r="33" spans="2:8" ht="15" customHeight="1" x14ac:dyDescent="0.3">
      <c r="B33" s="17" t="s">
        <v>83</v>
      </c>
      <c r="C33" s="19"/>
      <c r="D33" s="19">
        <f ca="1">IF(COLUMN()=3,0,IF(OFFSET(D32,0,-1)=0,0,D32/OFFSET(D32,0,-1)-1))</f>
        <v>0.1588785046728971</v>
      </c>
      <c r="E33" s="19">
        <f ca="1">IF(COLUMN()=3,0,IF(OFFSET(E32,0,-1)=0,0,E32/OFFSET(E32,0,-1)-1))</f>
        <v>8.870967741935476E-2</v>
      </c>
      <c r="F33" s="19">
        <f ca="1">IF(COLUMN()=3,0,IF(OFFSET(F32,0,-1)=0,0,F32/OFFSET(F32,0,-1)-1))</f>
        <v>8.1481481481481488E-2</v>
      </c>
      <c r="G33" s="19">
        <f ca="1">IF(COLUMN()=3,0,IF(OFFSET(G32,0,-1)=0,0,G32/OFFSET(G32,0,-1)-1))</f>
        <v>0.19863013698630128</v>
      </c>
      <c r="H33" s="19">
        <f ca="1">IF(COLUMN()=3,0,IF(OFFSET(H32,0,-1)=0,0,H32/OFFSET(H32,0,-1)-1))</f>
        <v>8.5714285714285632E-2</v>
      </c>
    </row>
    <row r="35" spans="2:8" ht="15" customHeight="1" x14ac:dyDescent="0.3">
      <c r="B35" s="6" t="s">
        <v>84</v>
      </c>
    </row>
  </sheetData>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36"/>
  <sheetViews>
    <sheetView showGridLines="0" zoomScaleNormal="100" workbookViewId="0">
      <pane xSplit="2" ySplit="5" topLeftCell="C29"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42" customWidth="1"/>
    <col min="3" max="8" width="12" customWidth="1"/>
    <col min="9" max="9" width="3" customWidth="1"/>
    <col min="10" max="10" width="60" customWidth="1"/>
  </cols>
  <sheetData>
    <row r="2" spans="2:10" ht="17.25" customHeight="1" x14ac:dyDescent="0.3">
      <c r="B2" s="12" t="s">
        <v>85</v>
      </c>
    </row>
    <row r="3" spans="2:10" ht="15" customHeight="1" x14ac:dyDescent="0.3">
      <c r="B3" s="6" t="s">
        <v>86</v>
      </c>
    </row>
    <row r="5" spans="2:10" ht="18" customHeight="1" x14ac:dyDescent="0.3">
      <c r="B5" s="13" t="s">
        <v>41</v>
      </c>
      <c r="C5" s="14" t="s">
        <v>42</v>
      </c>
      <c r="D5" s="14" t="s">
        <v>43</v>
      </c>
      <c r="E5" s="14" t="s">
        <v>44</v>
      </c>
      <c r="F5" s="14" t="s">
        <v>45</v>
      </c>
      <c r="G5" s="14" t="s">
        <v>46</v>
      </c>
      <c r="H5" s="14" t="s">
        <v>47</v>
      </c>
    </row>
    <row r="6" spans="2:10" ht="15" customHeight="1" x14ac:dyDescent="0.3">
      <c r="B6" s="15" t="s">
        <v>87</v>
      </c>
      <c r="C6" s="16"/>
      <c r="D6" s="16"/>
      <c r="E6" s="16"/>
      <c r="F6" s="16"/>
      <c r="G6" s="16"/>
      <c r="H6" s="16"/>
    </row>
    <row r="7" spans="2:10" ht="15" customHeight="1" x14ac:dyDescent="0.3">
      <c r="B7" s="17" t="s">
        <v>88</v>
      </c>
      <c r="C7" s="18"/>
      <c r="D7" s="18">
        <v>2</v>
      </c>
      <c r="E7" s="18">
        <v>16</v>
      </c>
      <c r="F7" s="18">
        <v>1</v>
      </c>
      <c r="G7" s="18">
        <v>1</v>
      </c>
      <c r="H7" s="18">
        <v>21</v>
      </c>
      <c r="J7" s="6" t="s">
        <v>89</v>
      </c>
    </row>
    <row r="8" spans="2:10" ht="15" customHeight="1" x14ac:dyDescent="0.3">
      <c r="B8" s="17" t="s">
        <v>90</v>
      </c>
      <c r="C8" s="18"/>
      <c r="D8" s="18">
        <v>2444</v>
      </c>
      <c r="E8" s="18">
        <v>2164</v>
      </c>
      <c r="F8" s="18">
        <v>2195</v>
      </c>
      <c r="G8" s="18">
        <v>2000</v>
      </c>
      <c r="H8" s="18">
        <v>1969</v>
      </c>
    </row>
    <row r="9" spans="2:10" ht="15" customHeight="1" x14ac:dyDescent="0.3">
      <c r="B9" s="17" t="s">
        <v>91</v>
      </c>
      <c r="C9" s="18"/>
      <c r="D9" s="18">
        <v>1453</v>
      </c>
      <c r="E9" s="18">
        <v>229</v>
      </c>
      <c r="F9" s="18">
        <v>168</v>
      </c>
      <c r="G9" s="18">
        <v>257</v>
      </c>
      <c r="H9" s="18">
        <v>2106</v>
      </c>
    </row>
    <row r="10" spans="2:10" ht="15" customHeight="1" x14ac:dyDescent="0.3">
      <c r="B10" s="17" t="s">
        <v>92</v>
      </c>
      <c r="C10" s="18"/>
      <c r="D10" s="18">
        <v>6</v>
      </c>
      <c r="E10" s="18">
        <v>6</v>
      </c>
      <c r="F10" s="18">
        <v>1</v>
      </c>
      <c r="G10" s="18">
        <v>6053</v>
      </c>
      <c r="H10" s="18">
        <v>1609</v>
      </c>
    </row>
    <row r="11" spans="2:10" ht="15" customHeight="1" x14ac:dyDescent="0.3">
      <c r="B11" s="17" t="s">
        <v>93</v>
      </c>
      <c r="C11" s="18"/>
      <c r="D11" s="18">
        <v>12930</v>
      </c>
      <c r="E11" s="18">
        <v>11486</v>
      </c>
      <c r="F11" s="18">
        <v>10545</v>
      </c>
      <c r="G11" s="18">
        <v>22728</v>
      </c>
      <c r="H11" s="18">
        <v>16171</v>
      </c>
      <c r="J11" s="6" t="s">
        <v>94</v>
      </c>
    </row>
    <row r="12" spans="2:10" ht="15" customHeight="1" x14ac:dyDescent="0.3">
      <c r="B12" s="20" t="s">
        <v>95</v>
      </c>
      <c r="C12" s="26">
        <v>14100</v>
      </c>
      <c r="D12" s="21">
        <f>SUM(D7:D11)</f>
        <v>16835</v>
      </c>
      <c r="E12" s="21">
        <f>SUM(E7:E11)</f>
        <v>13901</v>
      </c>
      <c r="F12" s="21">
        <f>SUM(F7:F11)</f>
        <v>12910</v>
      </c>
      <c r="G12" s="21">
        <f>SUM(G7:G11)</f>
        <v>31039</v>
      </c>
      <c r="H12" s="21">
        <f>SUM(H7:H11)</f>
        <v>21876</v>
      </c>
      <c r="J12" s="6" t="s">
        <v>96</v>
      </c>
    </row>
    <row r="14" spans="2:10" ht="15" customHeight="1" x14ac:dyDescent="0.3">
      <c r="B14" s="15" t="s">
        <v>97</v>
      </c>
      <c r="C14" s="16"/>
      <c r="D14" s="16"/>
      <c r="E14" s="16"/>
      <c r="F14" s="16"/>
      <c r="G14" s="16"/>
      <c r="H14" s="16"/>
    </row>
    <row r="15" spans="2:10" ht="15" customHeight="1" x14ac:dyDescent="0.3">
      <c r="B15" s="17" t="s">
        <v>98</v>
      </c>
      <c r="C15" s="18"/>
      <c r="D15" s="18">
        <v>13170</v>
      </c>
      <c r="E15" s="18">
        <v>13536</v>
      </c>
      <c r="F15" s="18">
        <v>13436</v>
      </c>
      <c r="G15" s="18">
        <v>10747</v>
      </c>
      <c r="H15" s="18">
        <v>8826</v>
      </c>
      <c r="J15" s="6" t="s">
        <v>99</v>
      </c>
    </row>
    <row r="16" spans="2:10" ht="15" customHeight="1" x14ac:dyDescent="0.3">
      <c r="B16" s="17" t="s">
        <v>100</v>
      </c>
      <c r="C16" s="18"/>
      <c r="D16" s="18">
        <v>26378</v>
      </c>
      <c r="E16" s="18">
        <v>23415</v>
      </c>
      <c r="F16" s="18">
        <v>16588</v>
      </c>
      <c r="G16" s="18">
        <v>21244</v>
      </c>
      <c r="H16" s="18">
        <v>10559</v>
      </c>
      <c r="J16" s="6" t="s">
        <v>101</v>
      </c>
    </row>
    <row r="17" spans="2:10" ht="15" customHeight="1" x14ac:dyDescent="0.3">
      <c r="B17" s="17" t="s">
        <v>102</v>
      </c>
      <c r="C17" s="18"/>
      <c r="D17" s="18">
        <v>21586</v>
      </c>
      <c r="E17" s="18">
        <v>23072</v>
      </c>
      <c r="F17" s="18">
        <v>24118</v>
      </c>
      <c r="G17" s="18">
        <v>23623</v>
      </c>
      <c r="H17" s="18">
        <v>20304</v>
      </c>
      <c r="J17" s="6" t="s">
        <v>103</v>
      </c>
    </row>
    <row r="18" spans="2:10" ht="15" customHeight="1" x14ac:dyDescent="0.3">
      <c r="B18" s="20" t="s">
        <v>104</v>
      </c>
      <c r="C18" s="26">
        <v>66403</v>
      </c>
      <c r="D18" s="21">
        <f>SUM(D15:D17)</f>
        <v>61134</v>
      </c>
      <c r="E18" s="21">
        <f>SUM(E15:E17)</f>
        <v>60023</v>
      </c>
      <c r="F18" s="21">
        <f>SUM(F15:F17)</f>
        <v>54142</v>
      </c>
      <c r="G18" s="21">
        <f>SUM(G15:G17)</f>
        <v>55614</v>
      </c>
      <c r="H18" s="21">
        <f>SUM(H15:H17)</f>
        <v>39689</v>
      </c>
      <c r="J18" s="6" t="s">
        <v>105</v>
      </c>
    </row>
    <row r="20" spans="2:10" ht="15" customHeight="1" x14ac:dyDescent="0.3">
      <c r="B20" s="15" t="s">
        <v>106</v>
      </c>
      <c r="C20" s="16"/>
      <c r="D20" s="16"/>
      <c r="E20" s="16"/>
      <c r="F20" s="16"/>
      <c r="G20" s="16"/>
      <c r="H20" s="16"/>
    </row>
    <row r="21" spans="2:10" ht="15" customHeight="1" x14ac:dyDescent="0.3">
      <c r="B21" s="20" t="s">
        <v>107</v>
      </c>
      <c r="C21" s="21">
        <f t="shared" ref="C21:H21" si="0">C12-C18</f>
        <v>-52303</v>
      </c>
      <c r="D21" s="21">
        <f t="shared" si="0"/>
        <v>-44299</v>
      </c>
      <c r="E21" s="21">
        <f t="shared" si="0"/>
        <v>-46122</v>
      </c>
      <c r="F21" s="21">
        <f t="shared" si="0"/>
        <v>-41232</v>
      </c>
      <c r="G21" s="21">
        <f t="shared" si="0"/>
        <v>-24575</v>
      </c>
      <c r="H21" s="21">
        <f t="shared" si="0"/>
        <v>-17813</v>
      </c>
      <c r="J21" s="6" t="s">
        <v>108</v>
      </c>
    </row>
    <row r="22" spans="2:10" ht="15" customHeight="1" x14ac:dyDescent="0.3">
      <c r="B22" s="17" t="s">
        <v>109</v>
      </c>
      <c r="C22" s="19">
        <f>IF('Income Statement'!C7=0,0,C21/'Income Statement'!C7)</f>
        <v>-1.246734363081617</v>
      </c>
      <c r="D22" s="19">
        <f>IF('Income Statement'!D7=0,0,D21/'Income Statement'!D7)</f>
        <v>-1.1501453941219233</v>
      </c>
      <c r="E22" s="19">
        <f>IF('Income Statement'!E7=0,0,E21/'Income Statement'!E7)</f>
        <v>-1.0935343907817057</v>
      </c>
      <c r="F22" s="19">
        <f>IF('Income Statement'!F7=0,0,F21/'Income Statement'!F7)</f>
        <v>-0.96670730563631246</v>
      </c>
      <c r="G22" s="19">
        <f>IF('Income Statement'!G7=0,0,G21/'Income Statement'!G7)</f>
        <v>-0.56400899660332326</v>
      </c>
      <c r="H22" s="19">
        <f>IF('Income Statement'!H7=0,0,H21/'Income Statement'!H7)</f>
        <v>-0.39696476723196578</v>
      </c>
    </row>
    <row r="23" spans="2:10" ht="15" customHeight="1" x14ac:dyDescent="0.3">
      <c r="B23" s="17" t="s">
        <v>110</v>
      </c>
      <c r="C23" s="23"/>
      <c r="D23" s="23">
        <f ca="1">IF(COLUMN()=3,0,D21-OFFSET(D21,0,-1))</f>
        <v>8004</v>
      </c>
      <c r="E23" s="23">
        <f ca="1">IF(COLUMN()=3,0,E21-OFFSET(E21,0,-1))</f>
        <v>-1823</v>
      </c>
      <c r="F23" s="23">
        <f ca="1">IF(COLUMN()=3,0,F21-OFFSET(F21,0,-1))</f>
        <v>4890</v>
      </c>
      <c r="G23" s="23">
        <f ca="1">IF(COLUMN()=3,0,G21-OFFSET(G21,0,-1))</f>
        <v>16657</v>
      </c>
      <c r="H23" s="23">
        <f ca="1">IF(COLUMN()=3,0,H21-OFFSET(H21,0,-1))</f>
        <v>6762</v>
      </c>
      <c r="J23" s="6" t="s">
        <v>111</v>
      </c>
    </row>
    <row r="25" spans="2:10" ht="15" customHeight="1" x14ac:dyDescent="0.3">
      <c r="B25" s="15" t="s">
        <v>112</v>
      </c>
      <c r="C25" s="16"/>
      <c r="D25" s="16"/>
      <c r="E25" s="16"/>
      <c r="F25" s="16"/>
      <c r="G25" s="16"/>
      <c r="H25" s="16"/>
    </row>
    <row r="26" spans="2:10" ht="15" customHeight="1" x14ac:dyDescent="0.3">
      <c r="B26" s="17" t="s">
        <v>113</v>
      </c>
      <c r="C26" s="19" t="str">
        <f>"n/a"</f>
        <v>n/a</v>
      </c>
      <c r="D26" s="19">
        <f>IF(D18=0,0,D16/D18)</f>
        <v>0.43147839172964308</v>
      </c>
      <c r="E26" s="19">
        <f>IF(E18=0,0,E16/E18)</f>
        <v>0.39010046148976224</v>
      </c>
      <c r="F26" s="19">
        <f>IF(F18=0,0,F16/F18)</f>
        <v>0.3063795205201138</v>
      </c>
      <c r="G26" s="19">
        <f>IF(G18=0,0,G16/G18)</f>
        <v>0.38199014636602296</v>
      </c>
      <c r="H26" s="19">
        <f>IF(H18=0,0,H16/H18)</f>
        <v>0.26604348812013406</v>
      </c>
      <c r="J26" s="6" t="s">
        <v>114</v>
      </c>
    </row>
    <row r="27" spans="2:10" ht="15" customHeight="1" x14ac:dyDescent="0.3">
      <c r="B27" s="17" t="s">
        <v>115</v>
      </c>
      <c r="C27" s="19" t="str">
        <f>"n/a"</f>
        <v>n/a</v>
      </c>
      <c r="D27" s="19">
        <f>IF(D18=0,0,D15/D18)</f>
        <v>0.21542840317989989</v>
      </c>
      <c r="E27" s="19">
        <f>IF(E18=0,0,E15/E18)</f>
        <v>0.22551355313796378</v>
      </c>
      <c r="F27" s="19">
        <f>IF(F18=0,0,F15/F18)</f>
        <v>0.24816224003546231</v>
      </c>
      <c r="G27" s="19">
        <f>IF(G18=0,0,G15/G18)</f>
        <v>0.19324270867047866</v>
      </c>
      <c r="H27" s="19">
        <f>IF(H18=0,0,H15/H18)</f>
        <v>0.22237899669933736</v>
      </c>
    </row>
    <row r="28" spans="2:10" ht="15" customHeight="1" x14ac:dyDescent="0.3">
      <c r="B28" s="17" t="s">
        <v>116</v>
      </c>
      <c r="C28" s="19" t="str">
        <f>"n/a"</f>
        <v>n/a</v>
      </c>
      <c r="D28" s="19">
        <f>IF(D12=0,0,D8/D12)</f>
        <v>0.14517374517374518</v>
      </c>
      <c r="E28" s="19">
        <f>IF(E12=0,0,E8/E12)</f>
        <v>0.15567225379469102</v>
      </c>
      <c r="F28" s="19">
        <f>IF(F12=0,0,F8/F12)</f>
        <v>0.17002323780015491</v>
      </c>
      <c r="G28" s="19">
        <f>IF(G12=0,0,G8/G12)</f>
        <v>6.4435065562679208E-2</v>
      </c>
      <c r="H28" s="19">
        <f>IF(H12=0,0,H8/H12)</f>
        <v>9.0007313951362217E-2</v>
      </c>
    </row>
    <row r="29" spans="2:10" ht="15" customHeight="1" x14ac:dyDescent="0.3">
      <c r="B29" s="17" t="s">
        <v>117</v>
      </c>
      <c r="C29" s="23" t="str">
        <f>"n/a"</f>
        <v>n/a</v>
      </c>
      <c r="D29" s="23">
        <f>D9+D10</f>
        <v>1459</v>
      </c>
      <c r="E29" s="23">
        <f>E9+E10</f>
        <v>235</v>
      </c>
      <c r="F29" s="23">
        <f>F9+F10</f>
        <v>169</v>
      </c>
      <c r="G29" s="23">
        <f>G9+G10</f>
        <v>6310</v>
      </c>
      <c r="H29" s="23">
        <f>H9+H10</f>
        <v>3715</v>
      </c>
    </row>
    <row r="30" spans="2:10" ht="15" customHeight="1" x14ac:dyDescent="0.3">
      <c r="B30" s="17" t="s">
        <v>118</v>
      </c>
      <c r="C30" s="25" t="str">
        <f>"n/a"</f>
        <v>n/a</v>
      </c>
      <c r="D30" s="25">
        <f>IF(('Income Statement'!D7-'Income Statement'!D9)=0,0,D29/(('Income Statement'!D7-'Income Statement'!D9)/12))</f>
        <v>0.77647684938797235</v>
      </c>
      <c r="E30" s="25">
        <f>IF(('Income Statement'!E7-'Income Statement'!E9)=0,0,E29/(('Income Statement'!E7-'Income Statement'!E9)/12))</f>
        <v>0.11091881686595344</v>
      </c>
      <c r="F30" s="25">
        <f>IF(('Income Statement'!F7-'Income Statement'!F9)=0,0,F29/(('Income Statement'!F7-'Income Statement'!F9)/12))</f>
        <v>7.9280688037529329E-2</v>
      </c>
      <c r="G30" s="25">
        <f>IF(('Income Statement'!G7-'Income Statement'!G9)=0,0,G29/(('Income Statement'!G7-'Income Statement'!G9)/12))</f>
        <v>2.9666196520921484</v>
      </c>
      <c r="H30" s="25">
        <f>IF(('Income Statement'!H7-'Income Statement'!H9)=0,0,H29/(('Income Statement'!H7-'Income Statement'!H9)/12))</f>
        <v>1.7136926270469746</v>
      </c>
      <c r="J30" s="6" t="s">
        <v>119</v>
      </c>
    </row>
    <row r="32" spans="2:10" ht="15" customHeight="1" x14ac:dyDescent="0.3">
      <c r="B32" s="7" t="s">
        <v>120</v>
      </c>
      <c r="C32" s="8"/>
      <c r="D32" s="8"/>
      <c r="E32" s="8"/>
      <c r="F32" s="8"/>
      <c r="G32" s="8"/>
      <c r="H32" s="8"/>
    </row>
    <row r="33" spans="2:8" ht="30" customHeight="1" x14ac:dyDescent="0.3">
      <c r="B33" s="3" t="s">
        <v>121</v>
      </c>
      <c r="C33" s="3"/>
      <c r="D33" s="3"/>
      <c r="E33" s="3"/>
      <c r="F33" s="3"/>
      <c r="G33" s="3"/>
      <c r="H33" s="3"/>
    </row>
    <row r="34" spans="2:8" ht="16.5" customHeight="1" x14ac:dyDescent="0.3">
      <c r="B34" s="3" t="s">
        <v>122</v>
      </c>
      <c r="C34" s="3"/>
      <c r="D34" s="3"/>
      <c r="E34" s="3"/>
      <c r="F34" s="3"/>
      <c r="G34" s="3"/>
      <c r="H34" s="3"/>
    </row>
    <row r="35" spans="2:8" ht="42.75" customHeight="1" x14ac:dyDescent="0.3">
      <c r="B35" s="3" t="s">
        <v>123</v>
      </c>
      <c r="C35" s="3"/>
      <c r="D35" s="3"/>
      <c r="E35" s="3"/>
      <c r="F35" s="3"/>
      <c r="G35" s="3"/>
      <c r="H35" s="3"/>
    </row>
    <row r="36" spans="2:8" ht="30" customHeight="1" x14ac:dyDescent="0.3">
      <c r="B36" s="3" t="s">
        <v>124</v>
      </c>
      <c r="C36" s="3"/>
      <c r="D36" s="3"/>
      <c r="E36" s="3"/>
      <c r="F36" s="3"/>
      <c r="G36" s="3"/>
      <c r="H36" s="3"/>
    </row>
  </sheetData>
  <mergeCells count="4">
    <mergeCell ref="B33:H33"/>
    <mergeCell ref="B34:H34"/>
    <mergeCell ref="B35:H35"/>
    <mergeCell ref="B36:H3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36"/>
  <sheetViews>
    <sheetView showGridLines="0" tabSelected="1" zoomScale="59" zoomScaleNormal="100" workbookViewId="0">
      <pane xSplit="2" ySplit="5" topLeftCell="E20" activePane="bottomRight" state="frozen"/>
      <selection pane="topRight" activeCell="C1" sqref="C1"/>
      <selection pane="bottomLeft" activeCell="A6" sqref="A6"/>
      <selection pane="bottomRight" activeCell="N39" sqref="N39"/>
    </sheetView>
  </sheetViews>
  <sheetFormatPr defaultColWidth="8.6640625" defaultRowHeight="14.4" x14ac:dyDescent="0.3"/>
  <cols>
    <col min="1" max="1" width="2" customWidth="1"/>
    <col min="2" max="2" width="42" customWidth="1"/>
    <col min="3" max="8" width="12" customWidth="1"/>
    <col min="9" max="9" width="3" customWidth="1"/>
    <col min="10" max="10" width="62" customWidth="1"/>
  </cols>
  <sheetData>
    <row r="2" spans="2:10" ht="17.25" customHeight="1" x14ac:dyDescent="0.3">
      <c r="B2" s="12" t="s">
        <v>125</v>
      </c>
    </row>
    <row r="3" spans="2:10" ht="15" customHeight="1" x14ac:dyDescent="0.3">
      <c r="B3" s="6" t="s">
        <v>126</v>
      </c>
    </row>
    <row r="5" spans="2:10" ht="18" customHeight="1" x14ac:dyDescent="0.3">
      <c r="B5" s="13" t="s">
        <v>41</v>
      </c>
      <c r="C5" s="14" t="s">
        <v>42</v>
      </c>
      <c r="D5" s="14" t="s">
        <v>43</v>
      </c>
      <c r="E5" s="14" t="s">
        <v>44</v>
      </c>
      <c r="F5" s="14" t="s">
        <v>45</v>
      </c>
      <c r="G5" s="14" t="s">
        <v>46</v>
      </c>
      <c r="H5" s="14" t="s">
        <v>47</v>
      </c>
    </row>
    <row r="6" spans="2:10" ht="15" customHeight="1" x14ac:dyDescent="0.3">
      <c r="B6" s="15" t="s">
        <v>127</v>
      </c>
      <c r="C6" s="16"/>
      <c r="D6" s="16"/>
      <c r="E6" s="16"/>
      <c r="F6" s="16"/>
      <c r="G6" s="16"/>
      <c r="H6" s="16"/>
    </row>
    <row r="7" spans="2:10" ht="15" customHeight="1" x14ac:dyDescent="0.3">
      <c r="B7" s="17" t="s">
        <v>128</v>
      </c>
      <c r="C7" s="27">
        <f>IF('Working Capital'!C18=0,0,'Working Capital'!C12/'Working Capital'!C18)</f>
        <v>0.21233980392452148</v>
      </c>
      <c r="D7" s="27">
        <f>IF('Working Capital'!D18=0,0,'Working Capital'!D12/'Working Capital'!D18)</f>
        <v>0.27537867635031243</v>
      </c>
      <c r="E7" s="27">
        <f>IF('Working Capital'!E18=0,0,'Working Capital'!E12/'Working Capital'!E18)</f>
        <v>0.23159455542042218</v>
      </c>
      <c r="F7" s="27">
        <f>IF('Working Capital'!F18=0,0,'Working Capital'!F12/'Working Capital'!F18)</f>
        <v>0.23844704665509217</v>
      </c>
      <c r="G7" s="27">
        <f>IF('Working Capital'!G18=0,0,'Working Capital'!G12/'Working Capital'!G18)</f>
        <v>0.55811486316395154</v>
      </c>
      <c r="H7" s="27">
        <f>IF('Working Capital'!H18=0,0,'Working Capital'!H12/'Working Capital'!H18)</f>
        <v>0.55118546700597137</v>
      </c>
      <c r="J7" s="6" t="s">
        <v>129</v>
      </c>
    </row>
    <row r="8" spans="2:10" ht="15" customHeight="1" x14ac:dyDescent="0.3">
      <c r="B8" s="17" t="s">
        <v>130</v>
      </c>
      <c r="C8" s="27">
        <f>IF('Working Capital'!C18=0,0,('Working Capital'!C12-'Working Capital'!C7)/'Working Capital'!C18)</f>
        <v>0.21233980392452148</v>
      </c>
      <c r="D8" s="27">
        <f>IF('Working Capital'!D18=0,0,('Working Capital'!D12-'Working Capital'!D7)/'Working Capital'!D18)</f>
        <v>0.27534596133084699</v>
      </c>
      <c r="E8" s="27">
        <f>IF('Working Capital'!E18=0,0,('Working Capital'!E12-'Working Capital'!E7)/'Working Capital'!E18)</f>
        <v>0.23132799093680756</v>
      </c>
      <c r="F8" s="27">
        <f>IF('Working Capital'!F18=0,0,('Working Capital'!F12-'Working Capital'!F7)/'Working Capital'!F18)</f>
        <v>0.23842857670569984</v>
      </c>
      <c r="G8" s="27">
        <f>IF('Working Capital'!G18=0,0,('Working Capital'!G12-'Working Capital'!G7)/'Working Capital'!G18)</f>
        <v>0.55809688208005181</v>
      </c>
      <c r="H8" s="27">
        <f>IF('Working Capital'!H18=0,0,('Working Capital'!H12-'Working Capital'!H7)/'Working Capital'!H18)</f>
        <v>0.55065635314570793</v>
      </c>
    </row>
    <row r="9" spans="2:10" ht="15" customHeight="1" x14ac:dyDescent="0.3">
      <c r="B9" s="17" t="s">
        <v>131</v>
      </c>
      <c r="C9" s="27" t="str">
        <f>"n/a"</f>
        <v>n/a</v>
      </c>
      <c r="D9" s="27">
        <f>IF('Working Capital'!D18=0,0,('Working Capital'!D9+'Working Capital'!D10)/'Working Capital'!D18)</f>
        <v>2.3865606700035985E-2</v>
      </c>
      <c r="E9" s="27">
        <f>IF('Working Capital'!E18=0,0,('Working Capital'!E9+'Working Capital'!E10)/'Working Capital'!E18)</f>
        <v>3.9151658530896492E-3</v>
      </c>
      <c r="F9" s="27">
        <f>IF('Working Capital'!F18=0,0,('Working Capital'!F9+'Working Capital'!F10)/'Working Capital'!F18)</f>
        <v>3.1214214473052342E-3</v>
      </c>
      <c r="G9" s="27">
        <f>IF('Working Capital'!G18=0,0,('Working Capital'!G9+'Working Capital'!G10)/'Working Capital'!G18)</f>
        <v>0.11346063940734348</v>
      </c>
      <c r="H9" s="27">
        <f>IF('Working Capital'!H18=0,0,('Working Capital'!H9+'Working Capital'!H10)/'Working Capital'!H18)</f>
        <v>9.3602761470432616E-2</v>
      </c>
    </row>
    <row r="11" spans="2:10" ht="15" customHeight="1" x14ac:dyDescent="0.3">
      <c r="B11" s="15" t="s">
        <v>132</v>
      </c>
      <c r="C11" s="16"/>
      <c r="D11" s="16"/>
      <c r="E11" s="16"/>
      <c r="F11" s="16"/>
      <c r="G11" s="16"/>
      <c r="H11" s="16"/>
    </row>
    <row r="12" spans="2:10" ht="15" customHeight="1" x14ac:dyDescent="0.3">
      <c r="B12" s="17" t="s">
        <v>133</v>
      </c>
      <c r="C12" s="28" t="str">
        <f>"n/a"</f>
        <v>n/a</v>
      </c>
      <c r="D12" s="28">
        <f>IF('Income Statement'!D7=0,0,'Working Capital'!D8/'Income Statement'!D7*365)</f>
        <v>23.160764357669539</v>
      </c>
      <c r="E12" s="28">
        <f>IF('Income Statement'!E7=0,0,'Working Capital'!E8/'Income Statement'!E7*365)</f>
        <v>18.7272684164355</v>
      </c>
      <c r="F12" s="28">
        <f>IF('Income Statement'!F7=0,0,'Working Capital'!F8/'Income Statement'!F7*365)</f>
        <v>18.78399606114602</v>
      </c>
      <c r="G12" s="28">
        <f>IF('Income Statement'!G7=0,0,'Working Capital'!G8/'Income Statement'!G7*365)</f>
        <v>16.753878637657209</v>
      </c>
      <c r="H12" s="28">
        <f>IF('Income Statement'!H7=0,0,'Working Capital'!H8/'Income Statement'!H7*365)</f>
        <v>16.015978428007934</v>
      </c>
      <c r="J12" s="6" t="s">
        <v>134</v>
      </c>
    </row>
    <row r="13" spans="2:10" ht="15" customHeight="1" x14ac:dyDescent="0.3">
      <c r="B13" s="17" t="s">
        <v>135</v>
      </c>
      <c r="C13" s="28" t="str">
        <f>"n/a"</f>
        <v>n/a</v>
      </c>
      <c r="D13" s="28">
        <f>IF(('Income Statement'!D7-'Income Statement'!D9)=0,0,'Working Capital'!D7/('Income Statement'!D7-'Income Statement'!D9)*365)</f>
        <v>3.2375376973567502E-2</v>
      </c>
      <c r="E13" s="28">
        <f>IF(('Income Statement'!E7-'Income Statement'!E9)=0,0,'Working Capital'!E7/('Income Statement'!E7-'Income Statement'!E9)*365)</f>
        <v>0.22970421648835748</v>
      </c>
      <c r="F13" s="28">
        <f>IF(('Income Statement'!F7-'Income Statement'!F9)=0,0,'Working Capital'!F7/('Income Statement'!F7-'Income Statement'!F9)*365)</f>
        <v>1.4268960125097731E-2</v>
      </c>
      <c r="G13" s="28">
        <f>IF(('Income Statement'!G7-'Income Statement'!G9)=0,0,'Working Capital'!G7/('Income Statement'!G7-'Income Statement'!G9)*365)</f>
        <v>1.430026641592227E-2</v>
      </c>
      <c r="H13" s="28">
        <f>IF(('Income Statement'!H7-'Income Statement'!H9)=0,0,'Working Capital'!H7/('Income Statement'!H7-'Income Statement'!H9)*365)</f>
        <v>0.29464903513492735</v>
      </c>
    </row>
    <row r="14" spans="2:10" ht="15" customHeight="1" x14ac:dyDescent="0.3">
      <c r="B14" s="17" t="s">
        <v>136</v>
      </c>
      <c r="C14" s="28" t="str">
        <f>"n/a"</f>
        <v>n/a</v>
      </c>
      <c r="D14" s="28">
        <f>IF(('Income Statement'!D7-'Income Statement'!D9)=0,0,'Working Capital'!D15/('Income Statement'!D7-'Income Statement'!D9)*365)</f>
        <v>213.19185737094199</v>
      </c>
      <c r="E14" s="28">
        <f>IF(('Income Statement'!E7-'Income Statement'!E9)=0,0,'Working Capital'!E15/('Income Statement'!E7-'Income Statement'!E9)*365)</f>
        <v>194.32976714915043</v>
      </c>
      <c r="F14" s="28">
        <f>IF(('Income Statement'!F7-'Income Statement'!F9)=0,0,'Working Capital'!F15/('Income Statement'!F7-'Income Statement'!F9)*365)</f>
        <v>191.71774824081314</v>
      </c>
      <c r="G14" s="28">
        <f>IF(('Income Statement'!G7-'Income Statement'!G9)=0,0,'Working Capital'!G15/('Income Statement'!G7-'Income Statement'!G9)*365)</f>
        <v>153.68496317191662</v>
      </c>
      <c r="H14" s="28">
        <f>IF(('Income Statement'!H7-'Income Statement'!H9)=0,0,'Working Capital'!H15/('Income Statement'!H7-'Income Statement'!H9)*365)</f>
        <v>123.83678019527946</v>
      </c>
      <c r="J14" s="6" t="s">
        <v>137</v>
      </c>
    </row>
    <row r="15" spans="2:10" ht="15" customHeight="1" x14ac:dyDescent="0.3">
      <c r="B15" s="17" t="s">
        <v>138</v>
      </c>
      <c r="C15" s="29" t="str">
        <f>"n/a"</f>
        <v>n/a</v>
      </c>
      <c r="D15" s="29">
        <f>D12+D13-D14</f>
        <v>-189.99871763629889</v>
      </c>
      <c r="E15" s="29">
        <f>E12+E13-E14</f>
        <v>-175.37279451622658</v>
      </c>
      <c r="F15" s="29">
        <f>F12+F13-F14</f>
        <v>-172.91948321954203</v>
      </c>
      <c r="G15" s="29">
        <f>G12+G13-G14</f>
        <v>-136.9167842678435</v>
      </c>
      <c r="H15" s="29">
        <f>H12+H13-H14</f>
        <v>-107.52615273213659</v>
      </c>
      <c r="J15" s="6" t="s">
        <v>139</v>
      </c>
    </row>
    <row r="17" spans="2:10" ht="15" customHeight="1" x14ac:dyDescent="0.3">
      <c r="B17" s="15" t="s">
        <v>140</v>
      </c>
      <c r="C17" s="16"/>
      <c r="D17" s="16"/>
      <c r="E17" s="16"/>
      <c r="F17" s="16"/>
      <c r="G17" s="16"/>
      <c r="H17" s="16"/>
    </row>
    <row r="18" spans="2:10" ht="15" customHeight="1" x14ac:dyDescent="0.3">
      <c r="B18" s="17" t="s">
        <v>59</v>
      </c>
      <c r="C18" s="27">
        <f>IF('Income Statement'!C13=0,0,'Income Statement'!C9/'Income Statement'!C13)</f>
        <v>0.94154906100677849</v>
      </c>
      <c r="D18" s="27">
        <f>IF('Income Statement'!D13=0,0,'Income Statement'!D9/'Income Statement'!D13)</f>
        <v>0.76106953910681097</v>
      </c>
      <c r="E18" s="27">
        <f>IF('Income Statement'!E13=0,0,'Income Statement'!E9/'Income Statement'!E13)</f>
        <v>0.71735034683565979</v>
      </c>
      <c r="F18" s="27">
        <f>IF('Income Statement'!F13=0,0,'Income Statement'!F9/'Income Statement'!F13)</f>
        <v>0.6625785919428705</v>
      </c>
      <c r="G18" s="27">
        <f>IF('Income Statement'!G13=0,0,'Income Statement'!G9/'Income Statement'!G13)</f>
        <v>0.73536242513140204</v>
      </c>
      <c r="H18" s="27">
        <f>IF('Income Statement'!H13=0,0,'Income Statement'!H9/'Income Statement'!H13)</f>
        <v>0.87736682949523148</v>
      </c>
      <c r="J18" s="6" t="s">
        <v>141</v>
      </c>
    </row>
    <row r="19" spans="2:10" ht="15" customHeight="1" x14ac:dyDescent="0.3">
      <c r="B19" s="17" t="s">
        <v>142</v>
      </c>
      <c r="C19" s="30">
        <f>'Income Statement'!C9-'Income Statement'!C13</f>
        <v>-1052</v>
      </c>
      <c r="D19" s="30">
        <f>'Income Statement'!D9-'Income Statement'!D13</f>
        <v>-5013</v>
      </c>
      <c r="E19" s="30">
        <f>'Income Statement'!E9-'Income Statement'!E13</f>
        <v>-6601</v>
      </c>
      <c r="F19" s="30">
        <f>'Income Statement'!F9-'Income Statement'!F13</f>
        <v>-8694</v>
      </c>
      <c r="G19" s="30">
        <f>'Income Statement'!G9-'Income Statement'!G13</f>
        <v>-6495</v>
      </c>
      <c r="H19" s="30">
        <f>'Income Statement'!H9-'Income Statement'!H13</f>
        <v>-2636</v>
      </c>
    </row>
    <row r="20" spans="2:10" ht="15" customHeight="1" x14ac:dyDescent="0.3">
      <c r="B20" s="17" t="s">
        <v>143</v>
      </c>
      <c r="C20" s="27">
        <f>IF('Working Capital'!C18=0,0,'Income Statement'!C9/'Working Capital'!C18)</f>
        <v>0.25519931328403839</v>
      </c>
      <c r="D20" s="27">
        <f>IF('Working Capital'!D18=0,0,'Income Statement'!D9/'Working Capital'!D18)</f>
        <v>0.26119671541204564</v>
      </c>
      <c r="E20" s="27">
        <f>IF('Working Capital'!E18=0,0,'Income Statement'!E9/'Working Capital'!E18)</f>
        <v>0.27910967462472719</v>
      </c>
      <c r="F20" s="27">
        <f>IF('Working Capital'!F18=0,0,'Income Statement'!F9/'Working Capital'!F18)</f>
        <v>0.31531897602600567</v>
      </c>
      <c r="G20" s="27">
        <f>IF('Working Capital'!G18=0,0,'Income Statement'!G9/'Working Capital'!G18)</f>
        <v>0.32452260222246199</v>
      </c>
      <c r="H20" s="27">
        <f>IF('Working Capital'!H18=0,0,'Income Statement'!H9/'Working Capital'!H18)</f>
        <v>0.47516944241477488</v>
      </c>
    </row>
    <row r="21" spans="2:10" ht="15" customHeight="1" x14ac:dyDescent="0.3">
      <c r="B21" s="17" t="s">
        <v>144</v>
      </c>
      <c r="C21" s="30">
        <f>'Income Statement'!C21</f>
        <v>-38228</v>
      </c>
      <c r="D21" s="30">
        <f>'Income Statement'!D21</f>
        <v>-61965</v>
      </c>
      <c r="E21" s="30">
        <f>'Income Statement'!E21</f>
        <v>-74359</v>
      </c>
      <c r="F21" s="30">
        <f>'Income Statement'!F21</f>
        <v>-104167</v>
      </c>
      <c r="G21" s="30">
        <f>'Income Statement'!G21</f>
        <v>-70320</v>
      </c>
      <c r="H21" s="30">
        <f>'Income Statement'!H21</f>
        <v>-35758</v>
      </c>
    </row>
    <row r="22" spans="2:10" ht="15" customHeight="1" x14ac:dyDescent="0.3">
      <c r="B22" s="17" t="s">
        <v>145</v>
      </c>
      <c r="C22" s="27">
        <f>IF('Working Capital'!C18=0,0,'Income Statement'!C24/'Working Capital'!C18)</f>
        <v>0.23553152719003659</v>
      </c>
      <c r="D22" s="27">
        <f>IF('Working Capital'!D18=0,0,'Income Statement'!D24/'Working Capital'!D18)</f>
        <v>0.28440802172277291</v>
      </c>
      <c r="E22" s="27">
        <f>IF('Working Capital'!E18=0,0,'Income Statement'!E24/'Working Capital'!E18)</f>
        <v>0.31436282758275996</v>
      </c>
      <c r="F22" s="27">
        <f>IF('Working Capital'!F18=0,0,'Income Statement'!F24/'Working Capital'!F18)</f>
        <v>0.38465516604484501</v>
      </c>
      <c r="G22" s="27">
        <f>IF('Working Capital'!G18=0,0,'Income Statement'!G24/'Working Capital'!G18)</f>
        <v>0.16704426942856115</v>
      </c>
      <c r="H22" s="27">
        <f>IF('Working Capital'!H18=0,0,'Income Statement'!H24/'Working Capital'!H18)</f>
        <v>0.48907757817027386</v>
      </c>
    </row>
    <row r="24" spans="2:10" ht="15" customHeight="1" x14ac:dyDescent="0.3">
      <c r="B24" s="15" t="s">
        <v>146</v>
      </c>
      <c r="C24" s="16"/>
      <c r="D24" s="16"/>
      <c r="E24" s="16"/>
      <c r="F24" s="16"/>
      <c r="G24" s="16"/>
      <c r="H24" s="16"/>
    </row>
    <row r="25" spans="2:10" ht="15" customHeight="1" x14ac:dyDescent="0.3">
      <c r="B25" s="31" t="s">
        <v>147</v>
      </c>
    </row>
    <row r="26" spans="2:10" ht="15" customHeight="1" x14ac:dyDescent="0.3">
      <c r="B26" s="17" t="s">
        <v>148</v>
      </c>
      <c r="C26" s="18">
        <v>203478</v>
      </c>
      <c r="D26" s="18">
        <v>194029</v>
      </c>
      <c r="E26" s="18">
        <v>207243</v>
      </c>
      <c r="F26" s="18">
        <v>184997</v>
      </c>
      <c r="G26" s="18">
        <v>197855</v>
      </c>
      <c r="H26" s="18">
        <v>191630</v>
      </c>
      <c r="J26" s="6" t="s">
        <v>149</v>
      </c>
    </row>
    <row r="27" spans="2:10" ht="15" customHeight="1" x14ac:dyDescent="0.3">
      <c r="B27" s="17" t="s">
        <v>150</v>
      </c>
      <c r="C27" s="18">
        <v>-66963</v>
      </c>
      <c r="D27" s="18">
        <v>-94084</v>
      </c>
      <c r="E27" s="18">
        <v>-123039</v>
      </c>
      <c r="F27" s="18">
        <v>-154287</v>
      </c>
      <c r="G27" s="18">
        <v>-141713</v>
      </c>
      <c r="H27" s="18">
        <v>-144101</v>
      </c>
      <c r="J27" s="6" t="s">
        <v>151</v>
      </c>
    </row>
    <row r="28" spans="2:10" ht="15" customHeight="1" x14ac:dyDescent="0.3">
      <c r="B28" s="17" t="s">
        <v>152</v>
      </c>
      <c r="C28" s="32">
        <f>C26-'Income Statement'!C21</f>
        <v>241706</v>
      </c>
      <c r="D28" s="32">
        <f>D26-'Income Statement'!D21</f>
        <v>255994</v>
      </c>
      <c r="E28" s="32">
        <f>E26-'Income Statement'!E21</f>
        <v>281602</v>
      </c>
      <c r="F28" s="32">
        <f>F26-'Income Statement'!F21</f>
        <v>289164</v>
      </c>
      <c r="G28" s="32">
        <f>G26-'Income Statement'!G21</f>
        <v>268175</v>
      </c>
      <c r="H28" s="32">
        <f>H26-'Income Statement'!H21</f>
        <v>227388</v>
      </c>
      <c r="J28" s="6" t="s">
        <v>153</v>
      </c>
    </row>
    <row r="29" spans="2:10" ht="15" customHeight="1" x14ac:dyDescent="0.3">
      <c r="B29" s="17" t="s">
        <v>154</v>
      </c>
      <c r="C29" s="33">
        <f>IF(C26=0,0,'Working Capital'!C21/C26)</f>
        <v>-0.25704498766451411</v>
      </c>
      <c r="D29" s="33">
        <f>IF(D26=0,0,'Working Capital'!D21/D26)</f>
        <v>-0.2283112318261703</v>
      </c>
      <c r="E29" s="33">
        <f>IF(E26=0,0,'Working Capital'!E21/E26)</f>
        <v>-0.22255033945657995</v>
      </c>
      <c r="F29" s="33">
        <f>IF(F26=0,0,'Working Capital'!F21/F26)</f>
        <v>-0.22287928993443137</v>
      </c>
      <c r="G29" s="33">
        <f>IF(G26=0,0,'Working Capital'!G21/G26)</f>
        <v>-0.12420712137676582</v>
      </c>
      <c r="H29" s="33">
        <f>IF(H26=0,0,'Working Capital'!H21/H26)</f>
        <v>-9.2955174033293328E-2</v>
      </c>
    </row>
    <row r="30" spans="2:10" ht="15" customHeight="1" x14ac:dyDescent="0.3">
      <c r="B30" s="17" t="s">
        <v>155</v>
      </c>
      <c r="C30" s="33">
        <f t="shared" ref="C30:H30" si="0">IF(C26=0,0,C27/C26)</f>
        <v>-0.32909208857960076</v>
      </c>
      <c r="D30" s="33">
        <f t="shared" si="0"/>
        <v>-0.48489658762349958</v>
      </c>
      <c r="E30" s="33">
        <f t="shared" si="0"/>
        <v>-0.59369435879619581</v>
      </c>
      <c r="F30" s="33">
        <f t="shared" si="0"/>
        <v>-0.83399730806445505</v>
      </c>
      <c r="G30" s="33">
        <f t="shared" si="0"/>
        <v>-0.71624674635465368</v>
      </c>
      <c r="H30" s="33">
        <f t="shared" si="0"/>
        <v>-0.75197516046548041</v>
      </c>
    </row>
    <row r="31" spans="2:10" ht="15" customHeight="1" x14ac:dyDescent="0.3">
      <c r="B31" s="17" t="s">
        <v>156</v>
      </c>
      <c r="C31" s="33">
        <f>IF(C26=0,0,'Income Statement'!C12/C26)</f>
        <v>-3.2888076352234639E-2</v>
      </c>
      <c r="D31" s="33">
        <f>IF(D26=0,0,'Income Statement'!D12/D26)</f>
        <v>-3.925186441202088E-2</v>
      </c>
      <c r="E31" s="33">
        <f>IF(E26=0,0,'Income Statement'!E12/E26)</f>
        <v>-3.0384620952215516E-2</v>
      </c>
      <c r="F31" s="33">
        <f>IF(F26=0,0,'Income Statement'!F12/F26)</f>
        <v>-3.006535241112018E-2</v>
      </c>
      <c r="G31" s="33">
        <f>IF(G26=0,0,'Income Statement'!G12/G26)</f>
        <v>-1.9837759975739808E-2</v>
      </c>
      <c r="H31" s="33">
        <f>IF(H26=0,0,'Income Statement'!H12/H26)</f>
        <v>-1.6954547826540729E-2</v>
      </c>
    </row>
    <row r="32" spans="2:10" ht="15" customHeight="1" x14ac:dyDescent="0.3">
      <c r="B32" s="17" t="s">
        <v>157</v>
      </c>
      <c r="C32" s="33">
        <f>IF(C28=0,0,'Income Statement'!C21/C28)</f>
        <v>-0.15815908583154742</v>
      </c>
      <c r="D32" s="33">
        <f>IF(D28=0,0,'Income Statement'!D21/D28)</f>
        <v>-0.24205645444815113</v>
      </c>
      <c r="E32" s="33">
        <f>IF(E28=0,0,'Income Statement'!E21/E28)</f>
        <v>-0.26405707345828511</v>
      </c>
      <c r="F32" s="33">
        <f>IF(F28=0,0,'Income Statement'!F21/F28)</f>
        <v>-0.36023502234026367</v>
      </c>
      <c r="G32" s="33">
        <f>IF(G28=0,0,'Income Statement'!G21/G28)</f>
        <v>-0.26221683602125478</v>
      </c>
      <c r="H32" s="33">
        <f>IF(H28=0,0,'Income Statement'!H21/H28)</f>
        <v>-0.1572554400408113</v>
      </c>
    </row>
    <row r="33" spans="2:10" ht="15" customHeight="1" x14ac:dyDescent="0.3">
      <c r="B33" s="20" t="s">
        <v>158</v>
      </c>
      <c r="C33" s="34">
        <f t="shared" ref="C33:H33" si="1">6.56*C29+3.26*C30+6.72*C31+1.05*C32</f>
        <v>-3.1461302410588523</v>
      </c>
      <c r="D33" s="34">
        <f t="shared" si="1"/>
        <v>-3.5964163624516243</v>
      </c>
      <c r="E33" s="34">
        <f t="shared" si="1"/>
        <v>-3.8768184164408503</v>
      </c>
      <c r="F33" s="34">
        <f t="shared" si="1"/>
        <v>-4.7612053079199965</v>
      </c>
      <c r="G33" s="34">
        <f t="shared" si="1"/>
        <v>-3.5584005342070442</v>
      </c>
      <c r="H33" s="34">
        <f t="shared" si="1"/>
        <v>-3.3402777382130755</v>
      </c>
      <c r="J33" s="6" t="s">
        <v>159</v>
      </c>
    </row>
    <row r="34" spans="2:10" ht="15" customHeight="1" x14ac:dyDescent="0.3">
      <c r="B34" s="17" t="s">
        <v>160</v>
      </c>
      <c r="C34" s="35" t="str">
        <f t="shared" ref="C34:H34" si="2">IF(C33&lt;1.1,"DISTRESS",IF(C33&lt;2.6,"GREY","SAFE"))</f>
        <v>DISTRESS</v>
      </c>
      <c r="D34" s="35" t="str">
        <f t="shared" si="2"/>
        <v>DISTRESS</v>
      </c>
      <c r="E34" s="35" t="str">
        <f t="shared" si="2"/>
        <v>DISTRESS</v>
      </c>
      <c r="F34" s="35" t="str">
        <f t="shared" si="2"/>
        <v>DISTRESS</v>
      </c>
      <c r="G34" s="35" t="str">
        <f t="shared" si="2"/>
        <v>DISTRESS</v>
      </c>
      <c r="H34" s="35" t="str">
        <f t="shared" si="2"/>
        <v>DISTRESS</v>
      </c>
    </row>
    <row r="36" spans="2:10" ht="42" customHeight="1" x14ac:dyDescent="0.3">
      <c r="B36" s="2" t="s">
        <v>161</v>
      </c>
      <c r="C36" s="2"/>
      <c r="D36" s="2"/>
      <c r="E36" s="2"/>
      <c r="F36" s="2"/>
      <c r="G36" s="2"/>
      <c r="H36" s="2"/>
    </row>
  </sheetData>
  <mergeCells count="1">
    <mergeCell ref="B36:H36"/>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57"/>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44" customWidth="1"/>
    <col min="3" max="8" width="12" customWidth="1"/>
    <col min="9" max="9" width="3" customWidth="1"/>
    <col min="10" max="10" width="60" customWidth="1"/>
  </cols>
  <sheetData>
    <row r="2" spans="2:10" ht="17.25" customHeight="1" x14ac:dyDescent="0.3">
      <c r="B2" s="12" t="s">
        <v>162</v>
      </c>
    </row>
    <row r="3" spans="2:10" ht="15" customHeight="1" x14ac:dyDescent="0.3">
      <c r="B3" s="6" t="s">
        <v>163</v>
      </c>
    </row>
    <row r="5" spans="2:10" ht="18" customHeight="1" x14ac:dyDescent="0.3">
      <c r="B5" s="13" t="s">
        <v>41</v>
      </c>
      <c r="C5" s="14" t="s">
        <v>42</v>
      </c>
      <c r="D5" s="14" t="s">
        <v>43</v>
      </c>
      <c r="E5" s="14" t="s">
        <v>44</v>
      </c>
      <c r="F5" s="14" t="s">
        <v>45</v>
      </c>
      <c r="G5" s="14" t="s">
        <v>46</v>
      </c>
      <c r="H5" s="14" t="s">
        <v>47</v>
      </c>
    </row>
    <row r="6" spans="2:10" ht="15" customHeight="1" x14ac:dyDescent="0.3">
      <c r="B6" s="15" t="s">
        <v>164</v>
      </c>
      <c r="C6" s="16"/>
      <c r="D6" s="16"/>
      <c r="E6" s="16"/>
      <c r="F6" s="16"/>
      <c r="G6" s="16"/>
      <c r="H6" s="16"/>
    </row>
    <row r="7" spans="2:10" ht="15" customHeight="1" x14ac:dyDescent="0.3">
      <c r="B7" s="17" t="s">
        <v>165</v>
      </c>
      <c r="C7" s="30">
        <f>'Income Statement'!C25</f>
        <v>5106</v>
      </c>
      <c r="D7" s="30">
        <f>'Income Statement'!D25</f>
        <v>5992</v>
      </c>
      <c r="E7" s="30">
        <f>'Income Statement'!E25</f>
        <v>5537</v>
      </c>
      <c r="F7" s="30">
        <f>'Income Statement'!F25</f>
        <v>1530</v>
      </c>
      <c r="G7" s="30">
        <f>'Income Statement'!G25</f>
        <v>10220</v>
      </c>
      <c r="H7" s="30">
        <f>'Income Statement'!H25</f>
        <v>10814</v>
      </c>
    </row>
    <row r="8" spans="2:10" ht="15" customHeight="1" x14ac:dyDescent="0.3">
      <c r="B8" s="17" t="s">
        <v>166</v>
      </c>
      <c r="C8" s="19">
        <f>IF('Income Statement'!C7=0,0,C7/'Income Statement'!C7)</f>
        <v>0.12171052631578948</v>
      </c>
      <c r="D8" s="19">
        <f>IF('Income Statement'!D7=0,0,D7/'Income Statement'!D7)</f>
        <v>0.15557171045799148</v>
      </c>
      <c r="E8" s="19">
        <f>IF('Income Statement'!E7=0,0,E7/'Income Statement'!E7)</f>
        <v>0.13128008156104037</v>
      </c>
      <c r="F8" s="19">
        <f>IF('Income Statement'!F7=0,0,F7/'Income Statement'!F7)</f>
        <v>3.5871705898902748E-2</v>
      </c>
      <c r="G8" s="19">
        <f>IF('Income Statement'!G7=0,0,G7/'Income Statement'!G7)</f>
        <v>0.23455430092720095</v>
      </c>
      <c r="H8" s="19">
        <f>IF('Income Statement'!H7=0,0,H7/'Income Statement'!H7)</f>
        <v>0.24099124194950192</v>
      </c>
      <c r="J8" s="6" t="s">
        <v>167</v>
      </c>
    </row>
    <row r="9" spans="2:10" ht="15" customHeight="1" x14ac:dyDescent="0.3">
      <c r="B9" s="17" t="s">
        <v>168</v>
      </c>
      <c r="C9" s="19">
        <f>IF('Income Statement'!C9=0,0,C7/'Income Statement'!C9)</f>
        <v>0.30131004366812225</v>
      </c>
      <c r="D9" s="19">
        <f>IF('Income Statement'!D9=0,0,D7/'Income Statement'!D9)</f>
        <v>0.37525050100200402</v>
      </c>
      <c r="E9" s="19">
        <f>IF('Income Statement'!E9=0,0,E7/'Income Statement'!E9)</f>
        <v>0.33050796872201993</v>
      </c>
      <c r="F9" s="19">
        <f>IF('Income Statement'!F9=0,0,F7/'Income Statement'!F9)</f>
        <v>8.9620431115276469E-2</v>
      </c>
      <c r="G9" s="19">
        <f>IF('Income Statement'!G9=0,0,G7/'Income Statement'!G9)</f>
        <v>0.56626773049645385</v>
      </c>
      <c r="H9" s="19">
        <f>IF('Income Statement'!H9=0,0,H7/'Income Statement'!H9)</f>
        <v>0.57341322445516729</v>
      </c>
    </row>
    <row r="10" spans="2:10" ht="15" customHeight="1" x14ac:dyDescent="0.3">
      <c r="B10" s="17" t="s">
        <v>169</v>
      </c>
      <c r="C10" s="18"/>
      <c r="D10" s="18"/>
      <c r="E10" s="18"/>
      <c r="F10" s="18"/>
      <c r="G10" s="18"/>
      <c r="H10" s="18">
        <v>28300</v>
      </c>
      <c r="J10" s="6" t="s">
        <v>170</v>
      </c>
    </row>
    <row r="11" spans="2:10" ht="15" customHeight="1" x14ac:dyDescent="0.3">
      <c r="B11" s="17" t="s">
        <v>171</v>
      </c>
      <c r="C11" s="19" t="str">
        <f>"n/a"</f>
        <v>n/a</v>
      </c>
      <c r="D11" s="19" t="str">
        <f>"n/a"</f>
        <v>n/a</v>
      </c>
      <c r="E11" s="19" t="str">
        <f>"n/a"</f>
        <v>n/a</v>
      </c>
      <c r="F11" s="19" t="str">
        <f>"n/a"</f>
        <v>n/a</v>
      </c>
      <c r="G11" s="19" t="str">
        <f>"n/a"</f>
        <v>n/a</v>
      </c>
      <c r="H11" s="19">
        <f>IF(H10=0,0,H7/H10)</f>
        <v>0.38212014134275618</v>
      </c>
      <c r="J11" s="6" t="s">
        <v>172</v>
      </c>
    </row>
    <row r="12" spans="2:10" ht="15" customHeight="1" x14ac:dyDescent="0.3">
      <c r="B12" s="17" t="s">
        <v>173</v>
      </c>
      <c r="C12" s="18">
        <v>606</v>
      </c>
      <c r="D12" s="18">
        <v>364</v>
      </c>
      <c r="E12" s="18">
        <v>17876</v>
      </c>
      <c r="F12" s="18">
        <v>18189</v>
      </c>
      <c r="G12" s="18">
        <v>18213</v>
      </c>
      <c r="H12" s="18">
        <v>15274</v>
      </c>
      <c r="J12" s="6" t="s">
        <v>174</v>
      </c>
    </row>
    <row r="14" spans="2:10" ht="15" customHeight="1" x14ac:dyDescent="0.3">
      <c r="B14" s="15" t="s">
        <v>175</v>
      </c>
      <c r="C14" s="16"/>
      <c r="D14" s="16"/>
      <c r="E14" s="16"/>
      <c r="F14" s="16"/>
      <c r="G14" s="16"/>
      <c r="H14" s="16"/>
    </row>
    <row r="15" spans="2:10" ht="15" customHeight="1" x14ac:dyDescent="0.3">
      <c r="B15" s="17" t="s">
        <v>79</v>
      </c>
      <c r="C15" s="36">
        <f>'Income Statement'!C30</f>
        <v>267.8</v>
      </c>
      <c r="D15" s="36">
        <f>'Income Statement'!D30</f>
        <v>243.8</v>
      </c>
      <c r="E15" s="36">
        <f>'Income Statement'!E30</f>
        <v>225.9</v>
      </c>
      <c r="F15" s="36">
        <f>'Income Statement'!F30</f>
        <v>212.6</v>
      </c>
      <c r="G15" s="36">
        <f>'Income Statement'!G30</f>
        <v>198.2</v>
      </c>
      <c r="H15" s="36">
        <f>'Income Statement'!H30</f>
        <v>192.8</v>
      </c>
    </row>
    <row r="16" spans="2:10" ht="15" customHeight="1" x14ac:dyDescent="0.3">
      <c r="B16" s="17" t="s">
        <v>176</v>
      </c>
      <c r="C16" s="25"/>
      <c r="D16" s="25">
        <f>D15-C15</f>
        <v>-24</v>
      </c>
      <c r="E16" s="25">
        <f>E15-D15</f>
        <v>-17.900000000000006</v>
      </c>
      <c r="F16" s="25">
        <f>F15-E15</f>
        <v>-13.300000000000011</v>
      </c>
      <c r="G16" s="25">
        <f>G15-F15</f>
        <v>-14.400000000000006</v>
      </c>
      <c r="H16" s="25">
        <f>H15-G15</f>
        <v>-5.3999999999999773</v>
      </c>
    </row>
    <row r="17" spans="2:10" ht="15" customHeight="1" x14ac:dyDescent="0.3">
      <c r="B17" s="17" t="s">
        <v>177</v>
      </c>
      <c r="C17" s="25">
        <f t="shared" ref="C17:H17" si="0">C15-$C$15</f>
        <v>0</v>
      </c>
      <c r="D17" s="25">
        <f t="shared" si="0"/>
        <v>-24</v>
      </c>
      <c r="E17" s="25">
        <f t="shared" si="0"/>
        <v>-41.900000000000006</v>
      </c>
      <c r="F17" s="25">
        <f t="shared" si="0"/>
        <v>-55.200000000000017</v>
      </c>
      <c r="G17" s="25">
        <f t="shared" si="0"/>
        <v>-69.600000000000023</v>
      </c>
      <c r="H17" s="25">
        <f t="shared" si="0"/>
        <v>-75</v>
      </c>
      <c r="J17" s="6" t="s">
        <v>178</v>
      </c>
    </row>
    <row r="18" spans="2:10" ht="15" customHeight="1" x14ac:dyDescent="0.3">
      <c r="B18" s="17" t="s">
        <v>179</v>
      </c>
      <c r="C18" s="37"/>
      <c r="D18" s="37"/>
      <c r="E18" s="37"/>
      <c r="F18" s="37"/>
      <c r="G18" s="37"/>
      <c r="H18" s="37"/>
      <c r="J18" s="6" t="s">
        <v>180</v>
      </c>
    </row>
    <row r="20" spans="2:10" ht="15" customHeight="1" x14ac:dyDescent="0.3">
      <c r="B20" s="7" t="s">
        <v>181</v>
      </c>
      <c r="C20" s="8"/>
      <c r="D20" s="8"/>
      <c r="E20" s="8"/>
      <c r="F20" s="8"/>
      <c r="G20" s="8"/>
      <c r="H20" s="8"/>
    </row>
    <row r="21" spans="2:10" ht="43.5" customHeight="1" x14ac:dyDescent="0.3">
      <c r="B21" s="3" t="s">
        <v>182</v>
      </c>
      <c r="C21" s="3"/>
      <c r="D21" s="3"/>
      <c r="E21" s="3"/>
      <c r="F21" s="3"/>
      <c r="G21" s="3"/>
      <c r="H21" s="3"/>
    </row>
    <row r="22" spans="2:10" ht="43.5" customHeight="1" x14ac:dyDescent="0.3">
      <c r="B22" s="3" t="s">
        <v>183</v>
      </c>
      <c r="C22" s="3"/>
      <c r="D22" s="3"/>
      <c r="E22" s="3"/>
      <c r="F22" s="3"/>
      <c r="G22" s="3"/>
      <c r="H22" s="3"/>
    </row>
    <row r="23" spans="2:10" ht="43.5" customHeight="1" x14ac:dyDescent="0.3">
      <c r="B23" s="3" t="s">
        <v>184</v>
      </c>
      <c r="C23" s="3"/>
      <c r="D23" s="3"/>
      <c r="E23" s="3"/>
      <c r="F23" s="3"/>
      <c r="G23" s="3"/>
      <c r="H23" s="3"/>
    </row>
    <row r="24" spans="2:10" ht="55.5" customHeight="1" x14ac:dyDescent="0.3">
      <c r="B24" s="3" t="s">
        <v>185</v>
      </c>
      <c r="C24" s="3"/>
      <c r="D24" s="3"/>
      <c r="E24" s="3"/>
      <c r="F24" s="3"/>
      <c r="G24" s="3"/>
      <c r="H24" s="3"/>
    </row>
    <row r="25" spans="2:10" ht="68.25" customHeight="1" x14ac:dyDescent="0.3">
      <c r="B25" s="3" t="s">
        <v>186</v>
      </c>
      <c r="C25" s="3"/>
      <c r="D25" s="3"/>
      <c r="E25" s="3"/>
      <c r="F25" s="3"/>
      <c r="G25" s="3"/>
      <c r="H25" s="3"/>
    </row>
    <row r="26" spans="2:10" ht="43.5" customHeight="1" x14ac:dyDescent="0.3">
      <c r="B26" s="3" t="s">
        <v>187</v>
      </c>
      <c r="C26" s="3"/>
      <c r="D26" s="3"/>
      <c r="E26" s="3"/>
      <c r="F26" s="3"/>
      <c r="G26" s="3"/>
      <c r="H26" s="3"/>
    </row>
    <row r="28" spans="2:10" ht="15" customHeight="1" x14ac:dyDescent="0.3">
      <c r="B28" s="15" t="s">
        <v>188</v>
      </c>
    </row>
    <row r="29" spans="2:10" ht="15" customHeight="1" x14ac:dyDescent="0.3">
      <c r="B29" s="17" t="s">
        <v>189</v>
      </c>
      <c r="C29" s="18">
        <v>1075</v>
      </c>
      <c r="D29" s="18">
        <v>-5730</v>
      </c>
      <c r="E29" s="18">
        <v>-5414</v>
      </c>
      <c r="F29" s="18">
        <v>-1907</v>
      </c>
      <c r="G29" s="18">
        <v>-16248</v>
      </c>
      <c r="H29" s="18">
        <v>-6104</v>
      </c>
      <c r="J29" s="6" t="s">
        <v>190</v>
      </c>
    </row>
    <row r="30" spans="2:10" ht="15" customHeight="1" x14ac:dyDescent="0.3">
      <c r="B30" s="17" t="s">
        <v>191</v>
      </c>
      <c r="C30" s="30">
        <f>'Income Statement'!C25</f>
        <v>5106</v>
      </c>
      <c r="D30" s="30">
        <f>'Income Statement'!D25</f>
        <v>5992</v>
      </c>
      <c r="E30" s="30">
        <f>'Income Statement'!E25</f>
        <v>5537</v>
      </c>
      <c r="F30" s="30">
        <f>'Income Statement'!F25</f>
        <v>1530</v>
      </c>
      <c r="G30" s="30">
        <f>'Income Statement'!G25</f>
        <v>10220</v>
      </c>
      <c r="H30" s="30">
        <f>'Income Statement'!H25</f>
        <v>10814</v>
      </c>
      <c r="J30" s="6" t="s">
        <v>192</v>
      </c>
    </row>
    <row r="31" spans="2:10" ht="15" customHeight="1" x14ac:dyDescent="0.3">
      <c r="B31" s="17" t="s">
        <v>193</v>
      </c>
      <c r="C31" s="18">
        <v>167490</v>
      </c>
      <c r="D31" s="18">
        <v>156819</v>
      </c>
      <c r="E31" s="18">
        <v>156255</v>
      </c>
      <c r="F31" s="18">
        <v>140125</v>
      </c>
      <c r="G31" s="18">
        <v>141320</v>
      </c>
      <c r="H31" s="18">
        <v>143086</v>
      </c>
      <c r="J31" s="6" t="s">
        <v>194</v>
      </c>
    </row>
    <row r="32" spans="2:10" ht="15" customHeight="1" x14ac:dyDescent="0.3">
      <c r="B32" s="17" t="s">
        <v>195</v>
      </c>
      <c r="C32" s="23" t="str">
        <f t="shared" ref="C32:H32" ca="1" si="1">IF(COLUMN()=3,"n/a",C31-OFFSET(C31,0,-1))</f>
        <v>n/a</v>
      </c>
      <c r="D32" s="23">
        <f t="shared" ca="1" si="1"/>
        <v>-10671</v>
      </c>
      <c r="E32" s="23">
        <f t="shared" ca="1" si="1"/>
        <v>-564</v>
      </c>
      <c r="F32" s="23">
        <f t="shared" ca="1" si="1"/>
        <v>-16130</v>
      </c>
      <c r="G32" s="23">
        <f t="shared" ca="1" si="1"/>
        <v>1195</v>
      </c>
      <c r="H32" s="23">
        <f t="shared" ca="1" si="1"/>
        <v>1766</v>
      </c>
      <c r="J32" s="6" t="s">
        <v>196</v>
      </c>
    </row>
    <row r="33" spans="2:10" ht="15" customHeight="1" x14ac:dyDescent="0.3">
      <c r="B33" s="17" t="s">
        <v>197</v>
      </c>
      <c r="C33" s="18"/>
      <c r="D33" s="18">
        <v>53957</v>
      </c>
      <c r="E33" s="18">
        <v>60121</v>
      </c>
      <c r="F33" s="18">
        <v>52815</v>
      </c>
      <c r="G33" s="18">
        <v>58668</v>
      </c>
      <c r="H33" s="18">
        <v>65694</v>
      </c>
      <c r="J33" s="6" t="s">
        <v>198</v>
      </c>
    </row>
    <row r="34" spans="2:10" ht="15" customHeight="1" x14ac:dyDescent="0.3">
      <c r="B34" s="17" t="s">
        <v>199</v>
      </c>
      <c r="C34" s="18"/>
      <c r="D34" s="18">
        <v>103226</v>
      </c>
      <c r="E34" s="18">
        <v>114010</v>
      </c>
      <c r="F34" s="18">
        <v>105499</v>
      </c>
      <c r="G34" s="18">
        <v>100865</v>
      </c>
      <c r="H34" s="18">
        <v>92666</v>
      </c>
      <c r="J34" s="6" t="s">
        <v>200</v>
      </c>
    </row>
    <row r="35" spans="2:10" ht="15" customHeight="1" x14ac:dyDescent="0.3">
      <c r="B35" s="17" t="s">
        <v>201</v>
      </c>
      <c r="C35" s="18" t="s">
        <v>202</v>
      </c>
      <c r="D35" s="18" t="s">
        <v>202</v>
      </c>
      <c r="E35" s="18" t="s">
        <v>202</v>
      </c>
      <c r="F35" s="18" t="s">
        <v>202</v>
      </c>
      <c r="G35" s="18" t="s">
        <v>202</v>
      </c>
      <c r="H35" s="18" t="s">
        <v>202</v>
      </c>
      <c r="J35" s="6" t="s">
        <v>203</v>
      </c>
    </row>
    <row r="37" spans="2:10" ht="15" customHeight="1" x14ac:dyDescent="0.3">
      <c r="B37" s="15" t="s">
        <v>204</v>
      </c>
    </row>
    <row r="38" spans="2:10" ht="15" customHeight="1" x14ac:dyDescent="0.3">
      <c r="B38" s="17" t="s">
        <v>205</v>
      </c>
      <c r="C38" s="18">
        <v>1138</v>
      </c>
      <c r="D38" s="23">
        <f ca="1">OFFSET(D40,0,-1)</f>
        <v>606</v>
      </c>
      <c r="E38" s="23">
        <f ca="1">OFFSET(E40,0,-1)</f>
        <v>364</v>
      </c>
      <c r="F38" s="23">
        <f ca="1">OFFSET(F40,0,-1)</f>
        <v>17876</v>
      </c>
      <c r="G38" s="23">
        <f ca="1">OFFSET(G40,0,-1)</f>
        <v>18189</v>
      </c>
      <c r="H38" s="23">
        <f ca="1">OFFSET(H40,0,-1)</f>
        <v>18213</v>
      </c>
      <c r="J38" s="6" t="s">
        <v>206</v>
      </c>
    </row>
    <row r="39" spans="2:10" ht="15" customHeight="1" x14ac:dyDescent="0.3">
      <c r="B39" s="17" t="s">
        <v>207</v>
      </c>
      <c r="C39" s="23">
        <f t="shared" ref="C39:H39" si="2">C40-C38</f>
        <v>-532</v>
      </c>
      <c r="D39" s="23">
        <f t="shared" ca="1" si="2"/>
        <v>-242</v>
      </c>
      <c r="E39" s="23">
        <f t="shared" ca="1" si="2"/>
        <v>17512</v>
      </c>
      <c r="F39" s="23">
        <f t="shared" ca="1" si="2"/>
        <v>313</v>
      </c>
      <c r="G39" s="23">
        <f t="shared" ca="1" si="2"/>
        <v>24</v>
      </c>
      <c r="H39" s="23">
        <f t="shared" ca="1" si="2"/>
        <v>-2939</v>
      </c>
      <c r="J39" s="6" t="s">
        <v>208</v>
      </c>
    </row>
    <row r="40" spans="2:10" ht="15" customHeight="1" x14ac:dyDescent="0.3">
      <c r="B40" s="17" t="s">
        <v>209</v>
      </c>
      <c r="C40" s="23">
        <f t="shared" ref="C40:H40" si="3">C12</f>
        <v>606</v>
      </c>
      <c r="D40" s="23">
        <f t="shared" si="3"/>
        <v>364</v>
      </c>
      <c r="E40" s="23">
        <f t="shared" si="3"/>
        <v>17876</v>
      </c>
      <c r="F40" s="23">
        <f t="shared" si="3"/>
        <v>18189</v>
      </c>
      <c r="G40" s="23">
        <f t="shared" si="3"/>
        <v>18213</v>
      </c>
      <c r="H40" s="23">
        <f t="shared" si="3"/>
        <v>15274</v>
      </c>
    </row>
    <row r="41" spans="2:10" ht="15" customHeight="1" x14ac:dyDescent="0.3">
      <c r="B41" s="17" t="s">
        <v>210</v>
      </c>
      <c r="C41" s="18" t="s">
        <v>202</v>
      </c>
      <c r="D41" s="18" t="s">
        <v>202</v>
      </c>
      <c r="E41" s="18" t="s">
        <v>202</v>
      </c>
      <c r="F41" s="18" t="s">
        <v>202</v>
      </c>
      <c r="G41" s="18" t="s">
        <v>202</v>
      </c>
      <c r="H41" s="18" t="s">
        <v>202</v>
      </c>
      <c r="J41" s="6" t="s">
        <v>211</v>
      </c>
    </row>
    <row r="42" spans="2:10" ht="15" customHeight="1" x14ac:dyDescent="0.3">
      <c r="B42" s="17" t="s">
        <v>212</v>
      </c>
      <c r="C42" s="18" t="s">
        <v>202</v>
      </c>
      <c r="D42" s="18" t="s">
        <v>202</v>
      </c>
      <c r="E42" s="18" t="s">
        <v>202</v>
      </c>
      <c r="F42" s="18" t="s">
        <v>202</v>
      </c>
      <c r="G42" s="18" t="s">
        <v>202</v>
      </c>
      <c r="H42" s="18" t="s">
        <v>202</v>
      </c>
      <c r="J42" s="6" t="s">
        <v>213</v>
      </c>
    </row>
    <row r="44" spans="2:10" ht="15" customHeight="1" x14ac:dyDescent="0.3">
      <c r="B44" s="15" t="s">
        <v>214</v>
      </c>
    </row>
    <row r="45" spans="2:10" ht="15" customHeight="1" x14ac:dyDescent="0.3">
      <c r="B45" s="17" t="s">
        <v>215</v>
      </c>
      <c r="C45" s="30">
        <f>'Working Capital'!C21</f>
        <v>-52303</v>
      </c>
      <c r="D45" s="30">
        <f>'Working Capital'!D21</f>
        <v>-44299</v>
      </c>
      <c r="E45" s="30">
        <f>'Working Capital'!E21</f>
        <v>-46122</v>
      </c>
      <c r="F45" s="30">
        <f>'Working Capital'!F21</f>
        <v>-41232</v>
      </c>
      <c r="G45" s="30">
        <f>'Working Capital'!G21</f>
        <v>-24575</v>
      </c>
      <c r="H45" s="30">
        <f>'Working Capital'!H21</f>
        <v>-17813</v>
      </c>
    </row>
    <row r="46" spans="2:10" ht="15" customHeight="1" x14ac:dyDescent="0.3">
      <c r="B46" s="17" t="s">
        <v>216</v>
      </c>
      <c r="C46" s="30" t="str">
        <f>'Working Capital'!C29</f>
        <v>n/a</v>
      </c>
      <c r="D46" s="30">
        <f>'Working Capital'!D29</f>
        <v>1459</v>
      </c>
      <c r="E46" s="30">
        <f>'Working Capital'!E29</f>
        <v>235</v>
      </c>
      <c r="F46" s="30">
        <f>'Working Capital'!F29</f>
        <v>169</v>
      </c>
      <c r="G46" s="30">
        <f>'Working Capital'!G29</f>
        <v>6310</v>
      </c>
      <c r="H46" s="30">
        <f>'Working Capital'!H29</f>
        <v>3715</v>
      </c>
    </row>
    <row r="47" spans="2:10" ht="15" customHeight="1" x14ac:dyDescent="0.3">
      <c r="B47" s="17" t="s">
        <v>166</v>
      </c>
      <c r="C47" s="38">
        <f t="shared" ref="C47:H47" si="4">C8</f>
        <v>0.12171052631578948</v>
      </c>
      <c r="D47" s="38">
        <f t="shared" si="4"/>
        <v>0.15557171045799148</v>
      </c>
      <c r="E47" s="38">
        <f t="shared" si="4"/>
        <v>0.13128008156104037</v>
      </c>
      <c r="F47" s="38">
        <f t="shared" si="4"/>
        <v>3.5871705898902748E-2</v>
      </c>
      <c r="G47" s="38">
        <f t="shared" si="4"/>
        <v>0.23455430092720095</v>
      </c>
      <c r="H47" s="38">
        <f t="shared" si="4"/>
        <v>0.24099124194950192</v>
      </c>
    </row>
    <row r="48" spans="2:10" ht="15" customHeight="1" x14ac:dyDescent="0.3">
      <c r="B48" s="17" t="s">
        <v>217</v>
      </c>
      <c r="C48" s="38">
        <f t="shared" ref="C48:H48" si="5">IF(C45=0,0,C30/-C45)</f>
        <v>9.7623463281264936E-2</v>
      </c>
      <c r="D48" s="38">
        <f t="shared" si="5"/>
        <v>0.13526264701234791</v>
      </c>
      <c r="E48" s="38">
        <f t="shared" si="5"/>
        <v>0.12005116863969473</v>
      </c>
      <c r="F48" s="38">
        <f t="shared" si="5"/>
        <v>3.7107101280558788E-2</v>
      </c>
      <c r="G48" s="38">
        <f t="shared" si="5"/>
        <v>0.41586978636826044</v>
      </c>
      <c r="H48" s="38">
        <f t="shared" si="5"/>
        <v>0.60708471341155334</v>
      </c>
      <c r="J48" s="6" t="s">
        <v>218</v>
      </c>
    </row>
    <row r="49" spans="2:10" ht="91.5" customHeight="1" x14ac:dyDescent="0.3">
      <c r="B49" s="17" t="s">
        <v>219</v>
      </c>
      <c r="C49" s="39" t="s">
        <v>220</v>
      </c>
      <c r="D49" s="39" t="s">
        <v>221</v>
      </c>
      <c r="E49" s="39" t="s">
        <v>222</v>
      </c>
      <c r="F49" s="39" t="s">
        <v>223</v>
      </c>
      <c r="G49" s="39" t="s">
        <v>224</v>
      </c>
      <c r="H49" s="39" t="s">
        <v>225</v>
      </c>
    </row>
    <row r="51" spans="2:10" ht="15" customHeight="1" x14ac:dyDescent="0.3">
      <c r="B51" s="15" t="s">
        <v>226</v>
      </c>
    </row>
    <row r="52" spans="2:10" ht="42" customHeight="1" x14ac:dyDescent="0.3">
      <c r="B52" s="17" t="s">
        <v>227</v>
      </c>
      <c r="C52" s="1" t="s">
        <v>228</v>
      </c>
      <c r="D52" s="1"/>
      <c r="E52" s="1"/>
      <c r="F52" s="1"/>
      <c r="G52" s="1"/>
      <c r="H52" s="1"/>
      <c r="I52" s="1"/>
      <c r="J52" s="1"/>
    </row>
    <row r="53" spans="2:10" ht="42" customHeight="1" x14ac:dyDescent="0.3">
      <c r="B53" s="17" t="s">
        <v>229</v>
      </c>
      <c r="C53" s="1" t="s">
        <v>230</v>
      </c>
      <c r="D53" s="1"/>
      <c r="E53" s="1"/>
      <c r="F53" s="1"/>
      <c r="G53" s="1"/>
      <c r="H53" s="1"/>
      <c r="I53" s="1"/>
      <c r="J53" s="1"/>
    </row>
    <row r="54" spans="2:10" ht="42" customHeight="1" x14ac:dyDescent="0.3">
      <c r="B54" s="17" t="s">
        <v>231</v>
      </c>
      <c r="C54" s="1" t="s">
        <v>232</v>
      </c>
      <c r="D54" s="1"/>
      <c r="E54" s="1"/>
      <c r="F54" s="1"/>
      <c r="G54" s="1"/>
      <c r="H54" s="1"/>
      <c r="I54" s="1"/>
      <c r="J54" s="1"/>
    </row>
    <row r="55" spans="2:10" ht="42" customHeight="1" x14ac:dyDescent="0.3">
      <c r="B55" s="17" t="s">
        <v>233</v>
      </c>
      <c r="C55" s="1" t="s">
        <v>234</v>
      </c>
      <c r="D55" s="1"/>
      <c r="E55" s="1"/>
      <c r="F55" s="1"/>
      <c r="G55" s="1"/>
      <c r="H55" s="1"/>
      <c r="I55" s="1"/>
      <c r="J55" s="1"/>
    </row>
    <row r="56" spans="2:10" ht="42" customHeight="1" x14ac:dyDescent="0.3">
      <c r="B56" s="17" t="s">
        <v>235</v>
      </c>
      <c r="C56" s="1" t="s">
        <v>236</v>
      </c>
      <c r="D56" s="1"/>
      <c r="E56" s="1"/>
      <c r="F56" s="1"/>
      <c r="G56" s="1"/>
      <c r="H56" s="1"/>
      <c r="I56" s="1"/>
      <c r="J56" s="1"/>
    </row>
    <row r="57" spans="2:10" ht="55.5" customHeight="1" x14ac:dyDescent="0.3">
      <c r="B57" s="17" t="s">
        <v>237</v>
      </c>
      <c r="C57" s="1" t="s">
        <v>238</v>
      </c>
      <c r="D57" s="1"/>
      <c r="E57" s="1"/>
      <c r="F57" s="1"/>
      <c r="G57" s="1"/>
      <c r="H57" s="1"/>
      <c r="I57" s="1"/>
      <c r="J57" s="1"/>
    </row>
  </sheetData>
  <mergeCells count="12">
    <mergeCell ref="C56:J56"/>
    <mergeCell ref="C57:J57"/>
    <mergeCell ref="B26:H26"/>
    <mergeCell ref="C52:J52"/>
    <mergeCell ref="C53:J53"/>
    <mergeCell ref="C54:J54"/>
    <mergeCell ref="C55:J55"/>
    <mergeCell ref="B21:H21"/>
    <mergeCell ref="B22:H22"/>
    <mergeCell ref="B23:H23"/>
    <mergeCell ref="B24:H24"/>
    <mergeCell ref="B25:H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33"/>
  <sheetViews>
    <sheetView showGridLines="0" zoomScale="69" zoomScaleNormal="100" workbookViewId="0">
      <pane xSplit="3" ySplit="5" topLeftCell="D16" activePane="bottomRight" state="frozen"/>
      <selection pane="topRight" activeCell="D1" sqref="D1"/>
      <selection pane="bottomLeft" activeCell="A6" sqref="A6"/>
      <selection pane="bottomRight"/>
    </sheetView>
  </sheetViews>
  <sheetFormatPr defaultColWidth="8.6640625" defaultRowHeight="14.4" x14ac:dyDescent="0.3"/>
  <cols>
    <col min="2" max="2" width="18" customWidth="1"/>
    <col min="3" max="3" width="8" customWidth="1"/>
    <col min="4" max="4" width="46" customWidth="1"/>
    <col min="5" max="5" width="14" customWidth="1"/>
    <col min="6" max="6" width="16" customWidth="1"/>
    <col min="7" max="7" width="52" customWidth="1"/>
    <col min="8" max="8" width="30" customWidth="1"/>
    <col min="9" max="9" width="46" customWidth="1"/>
  </cols>
  <sheetData>
    <row r="2" spans="2:9" ht="17.25" customHeight="1" x14ac:dyDescent="0.3">
      <c r="B2" s="12" t="s">
        <v>239</v>
      </c>
    </row>
    <row r="3" spans="2:9" ht="15" customHeight="1" x14ac:dyDescent="0.3">
      <c r="B3" s="41" t="s">
        <v>240</v>
      </c>
    </row>
    <row r="5" spans="2:9" ht="15" customHeight="1" x14ac:dyDescent="0.3">
      <c r="B5" s="42" t="s">
        <v>241</v>
      </c>
      <c r="C5" s="42" t="s">
        <v>242</v>
      </c>
      <c r="D5" s="42" t="s">
        <v>243</v>
      </c>
      <c r="E5" s="42" t="s">
        <v>244</v>
      </c>
      <c r="F5" s="42" t="s">
        <v>245</v>
      </c>
      <c r="G5" s="42" t="s">
        <v>246</v>
      </c>
      <c r="H5" s="42" t="s">
        <v>247</v>
      </c>
      <c r="I5" s="42" t="s">
        <v>248</v>
      </c>
    </row>
    <row r="6" spans="2:9" ht="15" customHeight="1" x14ac:dyDescent="0.3">
      <c r="D6" s="43" t="s">
        <v>249</v>
      </c>
    </row>
    <row r="7" spans="2:9" ht="32.25" customHeight="1" x14ac:dyDescent="0.3">
      <c r="B7" s="40" t="s">
        <v>250</v>
      </c>
      <c r="C7" s="40" t="s">
        <v>42</v>
      </c>
      <c r="D7" s="40" t="s">
        <v>251</v>
      </c>
      <c r="E7" s="40" t="s">
        <v>252</v>
      </c>
      <c r="F7" s="40" t="s">
        <v>253</v>
      </c>
      <c r="G7" s="40" t="s">
        <v>254</v>
      </c>
      <c r="H7" s="40" t="s">
        <v>255</v>
      </c>
      <c r="I7" s="40" t="s">
        <v>256</v>
      </c>
    </row>
    <row r="8" spans="2:9" ht="32.25" customHeight="1" x14ac:dyDescent="0.3">
      <c r="B8" s="40" t="s">
        <v>257</v>
      </c>
      <c r="C8" s="40" t="s">
        <v>42</v>
      </c>
      <c r="D8" s="40" t="s">
        <v>258</v>
      </c>
      <c r="E8" s="44">
        <v>1993</v>
      </c>
      <c r="F8" s="40" t="s">
        <v>259</v>
      </c>
      <c r="G8" s="40" t="s">
        <v>260</v>
      </c>
      <c r="H8" s="40" t="s">
        <v>261</v>
      </c>
      <c r="I8" s="40" t="s">
        <v>262</v>
      </c>
    </row>
    <row r="9" spans="2:9" ht="32.25" customHeight="1" x14ac:dyDescent="0.3">
      <c r="B9" s="40" t="s">
        <v>263</v>
      </c>
      <c r="C9" s="40" t="s">
        <v>44</v>
      </c>
      <c r="D9" s="40" t="s">
        <v>264</v>
      </c>
      <c r="E9" s="44">
        <v>18799</v>
      </c>
      <c r="F9" s="40" t="s">
        <v>259</v>
      </c>
      <c r="G9" s="40" t="s">
        <v>265</v>
      </c>
      <c r="H9" s="40" t="s">
        <v>261</v>
      </c>
      <c r="I9" s="40" t="s">
        <v>262</v>
      </c>
    </row>
    <row r="10" spans="2:9" ht="21.75" customHeight="1" x14ac:dyDescent="0.3">
      <c r="B10" s="40" t="s">
        <v>44</v>
      </c>
      <c r="C10" s="40" t="s">
        <v>44</v>
      </c>
      <c r="D10" s="40" t="s">
        <v>266</v>
      </c>
      <c r="E10" s="44">
        <v>17512</v>
      </c>
      <c r="F10" s="40" t="s">
        <v>267</v>
      </c>
      <c r="G10" s="40" t="s">
        <v>268</v>
      </c>
      <c r="H10" s="40" t="s">
        <v>269</v>
      </c>
      <c r="I10" s="40" t="s">
        <v>270</v>
      </c>
    </row>
    <row r="11" spans="2:9" ht="32.25" customHeight="1" x14ac:dyDescent="0.3">
      <c r="B11" s="40" t="s">
        <v>271</v>
      </c>
      <c r="C11" s="40" t="s">
        <v>45</v>
      </c>
      <c r="D11" s="40" t="s">
        <v>272</v>
      </c>
      <c r="E11" s="44">
        <v>1680</v>
      </c>
      <c r="F11" s="40" t="s">
        <v>267</v>
      </c>
      <c r="G11" s="40" t="s">
        <v>273</v>
      </c>
      <c r="H11" s="40" t="s">
        <v>274</v>
      </c>
      <c r="I11" s="40" t="s">
        <v>275</v>
      </c>
    </row>
    <row r="12" spans="2:9" ht="21.75" customHeight="1" x14ac:dyDescent="0.3">
      <c r="B12" s="40" t="s">
        <v>45</v>
      </c>
      <c r="C12" s="40" t="s">
        <v>45</v>
      </c>
      <c r="D12" s="40" t="s">
        <v>276</v>
      </c>
      <c r="E12" s="44">
        <v>1530</v>
      </c>
      <c r="F12" s="40" t="s">
        <v>267</v>
      </c>
      <c r="G12" s="40" t="s">
        <v>277</v>
      </c>
      <c r="H12" s="40" t="s">
        <v>278</v>
      </c>
      <c r="I12" s="40" t="s">
        <v>270</v>
      </c>
    </row>
    <row r="13" spans="2:9" ht="32.25" customHeight="1" x14ac:dyDescent="0.3">
      <c r="B13" s="40" t="s">
        <v>279</v>
      </c>
      <c r="C13" s="40" t="s">
        <v>280</v>
      </c>
      <c r="D13" s="40" t="s">
        <v>281</v>
      </c>
      <c r="E13" s="44">
        <v>13500</v>
      </c>
      <c r="F13" s="40" t="s">
        <v>267</v>
      </c>
      <c r="G13" s="40" t="s">
        <v>282</v>
      </c>
      <c r="H13" s="40" t="s">
        <v>283</v>
      </c>
      <c r="I13" s="40" t="s">
        <v>284</v>
      </c>
    </row>
    <row r="14" spans="2:9" ht="15" customHeight="1" x14ac:dyDescent="0.3">
      <c r="D14" s="43" t="s">
        <v>285</v>
      </c>
    </row>
    <row r="15" spans="2:9" ht="21.75" customHeight="1" x14ac:dyDescent="0.3">
      <c r="B15" s="40" t="s">
        <v>286</v>
      </c>
      <c r="C15" s="40" t="s">
        <v>46</v>
      </c>
      <c r="D15" s="40" t="s">
        <v>287</v>
      </c>
      <c r="E15" s="44">
        <v>24000</v>
      </c>
      <c r="F15" s="40" t="s">
        <v>288</v>
      </c>
      <c r="G15" s="40" t="s">
        <v>289</v>
      </c>
      <c r="H15" s="40" t="s">
        <v>290</v>
      </c>
      <c r="I15" s="40" t="s">
        <v>291</v>
      </c>
    </row>
    <row r="16" spans="2:9" ht="21.75" customHeight="1" x14ac:dyDescent="0.3">
      <c r="B16" s="40" t="s">
        <v>292</v>
      </c>
      <c r="C16" s="40" t="s">
        <v>46</v>
      </c>
      <c r="D16" s="40" t="s">
        <v>293</v>
      </c>
      <c r="E16" s="44">
        <v>3510</v>
      </c>
      <c r="F16" s="40" t="s">
        <v>259</v>
      </c>
      <c r="G16" s="40" t="s">
        <v>294</v>
      </c>
      <c r="H16" s="40" t="s">
        <v>295</v>
      </c>
      <c r="I16" s="40" t="s">
        <v>296</v>
      </c>
    </row>
    <row r="17" spans="2:9" ht="21.75" customHeight="1" x14ac:dyDescent="0.3">
      <c r="B17" s="40" t="s">
        <v>292</v>
      </c>
      <c r="C17" s="40" t="s">
        <v>46</v>
      </c>
      <c r="D17" s="40" t="s">
        <v>297</v>
      </c>
      <c r="E17" s="44">
        <v>2460</v>
      </c>
      <c r="F17" s="40" t="s">
        <v>267</v>
      </c>
      <c r="G17" s="40" t="s">
        <v>298</v>
      </c>
      <c r="H17" s="40" t="s">
        <v>290</v>
      </c>
      <c r="I17" s="40" t="s">
        <v>291</v>
      </c>
    </row>
    <row r="18" spans="2:9" ht="32.25" customHeight="1" x14ac:dyDescent="0.3">
      <c r="B18" s="40" t="s">
        <v>299</v>
      </c>
      <c r="C18" s="40" t="s">
        <v>46</v>
      </c>
      <c r="D18" s="40" t="s">
        <v>300</v>
      </c>
      <c r="E18" s="44">
        <v>30000</v>
      </c>
      <c r="F18" s="40" t="s">
        <v>301</v>
      </c>
      <c r="G18" s="40" t="s">
        <v>302</v>
      </c>
      <c r="H18" s="40" t="s">
        <v>303</v>
      </c>
      <c r="I18" s="40" t="s">
        <v>304</v>
      </c>
    </row>
    <row r="19" spans="2:9" ht="32.25" customHeight="1" x14ac:dyDescent="0.3">
      <c r="B19" s="40" t="s">
        <v>305</v>
      </c>
      <c r="C19" s="40" t="s">
        <v>46</v>
      </c>
      <c r="D19" s="40" t="s">
        <v>306</v>
      </c>
      <c r="E19" s="40"/>
      <c r="F19" s="40" t="s">
        <v>307</v>
      </c>
      <c r="G19" s="40" t="s">
        <v>308</v>
      </c>
      <c r="H19" s="40" t="s">
        <v>309</v>
      </c>
      <c r="I19" s="40" t="s">
        <v>310</v>
      </c>
    </row>
    <row r="20" spans="2:9" ht="21.75" customHeight="1" x14ac:dyDescent="0.3">
      <c r="B20" s="40" t="s">
        <v>46</v>
      </c>
      <c r="C20" s="40" t="s">
        <v>46</v>
      </c>
      <c r="D20" s="40" t="s">
        <v>311</v>
      </c>
      <c r="E20" s="44">
        <v>10220</v>
      </c>
      <c r="F20" s="40" t="s">
        <v>312</v>
      </c>
      <c r="G20" s="40" t="s">
        <v>313</v>
      </c>
      <c r="H20" s="40" t="s">
        <v>314</v>
      </c>
      <c r="I20" s="40" t="s">
        <v>270</v>
      </c>
    </row>
    <row r="21" spans="2:9" ht="32.25" customHeight="1" x14ac:dyDescent="0.3">
      <c r="B21" s="40" t="s">
        <v>315</v>
      </c>
      <c r="C21" s="40" t="s">
        <v>46</v>
      </c>
      <c r="D21" s="40" t="s">
        <v>316</v>
      </c>
      <c r="E21" s="40"/>
      <c r="F21" s="40" t="s">
        <v>307</v>
      </c>
      <c r="G21" s="40" t="s">
        <v>317</v>
      </c>
      <c r="H21" s="40" t="s">
        <v>318</v>
      </c>
      <c r="I21" s="40" t="s">
        <v>310</v>
      </c>
    </row>
    <row r="22" spans="2:9" ht="21.75" customHeight="1" x14ac:dyDescent="0.3">
      <c r="B22" s="40" t="s">
        <v>319</v>
      </c>
      <c r="C22" s="40" t="s">
        <v>47</v>
      </c>
      <c r="D22" s="40" t="s">
        <v>320</v>
      </c>
      <c r="E22" s="40"/>
      <c r="F22" s="40" t="s">
        <v>307</v>
      </c>
      <c r="G22" s="40" t="s">
        <v>321</v>
      </c>
      <c r="H22" s="40" t="s">
        <v>322</v>
      </c>
      <c r="I22" s="40" t="s">
        <v>323</v>
      </c>
    </row>
    <row r="23" spans="2:9" ht="32.25" customHeight="1" x14ac:dyDescent="0.3">
      <c r="B23" s="40" t="s">
        <v>324</v>
      </c>
      <c r="C23" s="40" t="s">
        <v>47</v>
      </c>
      <c r="D23" s="40" t="s">
        <v>325</v>
      </c>
      <c r="E23" s="40"/>
      <c r="F23" s="40" t="s">
        <v>307</v>
      </c>
      <c r="G23" s="40" t="s">
        <v>326</v>
      </c>
      <c r="H23" s="40" t="s">
        <v>327</v>
      </c>
      <c r="I23" s="40" t="s">
        <v>328</v>
      </c>
    </row>
    <row r="24" spans="2:9" ht="32.25" customHeight="1" x14ac:dyDescent="0.3">
      <c r="B24" s="40" t="s">
        <v>47</v>
      </c>
      <c r="C24" s="40" t="s">
        <v>47</v>
      </c>
      <c r="D24" s="40" t="s">
        <v>329</v>
      </c>
      <c r="E24" s="40"/>
      <c r="F24" s="40" t="s">
        <v>307</v>
      </c>
      <c r="G24" s="40" t="s">
        <v>330</v>
      </c>
      <c r="H24" s="40" t="s">
        <v>331</v>
      </c>
      <c r="I24" s="40" t="s">
        <v>332</v>
      </c>
    </row>
    <row r="25" spans="2:9" ht="21.75" customHeight="1" x14ac:dyDescent="0.3">
      <c r="B25" s="40" t="s">
        <v>47</v>
      </c>
      <c r="C25" s="40" t="s">
        <v>47</v>
      </c>
      <c r="D25" s="40" t="s">
        <v>333</v>
      </c>
      <c r="E25" s="44">
        <v>8742</v>
      </c>
      <c r="F25" s="40" t="s">
        <v>312</v>
      </c>
      <c r="G25" s="40" t="s">
        <v>334</v>
      </c>
      <c r="H25" s="40" t="s">
        <v>335</v>
      </c>
      <c r="I25" s="40" t="s">
        <v>336</v>
      </c>
    </row>
    <row r="26" spans="2:9" ht="21.75" customHeight="1" x14ac:dyDescent="0.3">
      <c r="B26" s="40" t="s">
        <v>337</v>
      </c>
      <c r="C26" s="40" t="s">
        <v>47</v>
      </c>
      <c r="D26" s="40" t="s">
        <v>338</v>
      </c>
      <c r="E26" s="44">
        <v>45000</v>
      </c>
      <c r="F26" s="40" t="s">
        <v>301</v>
      </c>
      <c r="G26" s="40" t="s">
        <v>339</v>
      </c>
      <c r="H26" s="40" t="s">
        <v>340</v>
      </c>
      <c r="I26" s="40" t="s">
        <v>341</v>
      </c>
    </row>
    <row r="27" spans="2:9" ht="32.25" customHeight="1" x14ac:dyDescent="0.3">
      <c r="B27" s="40" t="s">
        <v>342</v>
      </c>
      <c r="C27" s="40" t="s">
        <v>343</v>
      </c>
      <c r="D27" s="40" t="s">
        <v>344</v>
      </c>
      <c r="E27" s="44">
        <v>1930</v>
      </c>
      <c r="F27" s="40" t="s">
        <v>312</v>
      </c>
      <c r="G27" s="40" t="s">
        <v>345</v>
      </c>
      <c r="H27" s="40" t="s">
        <v>346</v>
      </c>
      <c r="I27" s="40" t="s">
        <v>347</v>
      </c>
    </row>
    <row r="29" spans="2:9" ht="15" customHeight="1" x14ac:dyDescent="0.3">
      <c r="D29" s="43" t="s">
        <v>348</v>
      </c>
    </row>
    <row r="30" spans="2:9" ht="32.25" customHeight="1" x14ac:dyDescent="0.3">
      <c r="D30" s="40" t="s">
        <v>349</v>
      </c>
    </row>
    <row r="31" spans="2:9" ht="21.75" customHeight="1" x14ac:dyDescent="0.3">
      <c r="D31" s="40" t="s">
        <v>350</v>
      </c>
    </row>
    <row r="32" spans="2:9" ht="21.75" customHeight="1" x14ac:dyDescent="0.3">
      <c r="D32" s="40" t="s">
        <v>351</v>
      </c>
    </row>
    <row r="33" spans="4:4" ht="21.75" customHeight="1" x14ac:dyDescent="0.3">
      <c r="D33" s="40" t="s">
        <v>352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34"/>
  <sheetViews>
    <sheetView showGridLines="0" zoomScale="60"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44" customWidth="1"/>
    <col min="3" max="8" width="12" customWidth="1"/>
    <col min="9" max="9" width="3" customWidth="1"/>
    <col min="10" max="10" width="60" customWidth="1"/>
  </cols>
  <sheetData>
    <row r="2" spans="2:10" ht="17.25" customHeight="1" x14ac:dyDescent="0.3">
      <c r="B2" s="12" t="s">
        <v>353</v>
      </c>
    </row>
    <row r="3" spans="2:10" ht="15" customHeight="1" x14ac:dyDescent="0.3">
      <c r="B3" s="6" t="s">
        <v>354</v>
      </c>
    </row>
    <row r="5" spans="2:10" ht="18" customHeight="1" x14ac:dyDescent="0.3">
      <c r="B5" s="13" t="s">
        <v>41</v>
      </c>
      <c r="C5" s="14" t="s">
        <v>42</v>
      </c>
      <c r="D5" s="14" t="s">
        <v>43</v>
      </c>
      <c r="E5" s="14" t="s">
        <v>44</v>
      </c>
      <c r="F5" s="14" t="s">
        <v>45</v>
      </c>
      <c r="G5" s="14" t="s">
        <v>46</v>
      </c>
      <c r="H5" s="14" t="s">
        <v>47</v>
      </c>
    </row>
    <row r="6" spans="2:10" ht="15" customHeight="1" x14ac:dyDescent="0.3">
      <c r="B6" s="15" t="s">
        <v>355</v>
      </c>
      <c r="C6" s="16"/>
      <c r="D6" s="16"/>
      <c r="E6" s="16"/>
      <c r="F6" s="16"/>
      <c r="G6" s="16"/>
      <c r="H6" s="16"/>
    </row>
    <row r="7" spans="2:10" ht="15" customHeight="1" x14ac:dyDescent="0.3">
      <c r="B7" s="17" t="s">
        <v>356</v>
      </c>
      <c r="C7" s="18">
        <v>28735</v>
      </c>
      <c r="D7" s="18">
        <v>32119</v>
      </c>
      <c r="E7" s="18">
        <v>48680</v>
      </c>
      <c r="F7" s="18">
        <v>50120</v>
      </c>
      <c r="G7" s="18">
        <v>71393</v>
      </c>
      <c r="H7" s="18">
        <v>108343</v>
      </c>
      <c r="J7" s="6" t="s">
        <v>357</v>
      </c>
    </row>
    <row r="8" spans="2:10" ht="15" customHeight="1" x14ac:dyDescent="0.3">
      <c r="B8" s="17" t="s">
        <v>358</v>
      </c>
      <c r="C8" s="25">
        <f t="shared" ref="C8:H8" si="0">C7/10</f>
        <v>2873.5</v>
      </c>
      <c r="D8" s="25">
        <f t="shared" si="0"/>
        <v>3211.9</v>
      </c>
      <c r="E8" s="25">
        <f t="shared" si="0"/>
        <v>4868</v>
      </c>
      <c r="F8" s="25">
        <f t="shared" si="0"/>
        <v>5012</v>
      </c>
      <c r="G8" s="25">
        <f t="shared" si="0"/>
        <v>7139.3</v>
      </c>
      <c r="H8" s="25">
        <f t="shared" si="0"/>
        <v>10834.3</v>
      </c>
    </row>
    <row r="9" spans="2:10" ht="15" customHeight="1" x14ac:dyDescent="0.3">
      <c r="B9" s="17" t="s">
        <v>359</v>
      </c>
      <c r="C9" s="22">
        <f t="shared" ref="C9:H9" si="1">IF($C$7=0,0,C7/$C$7)</f>
        <v>1</v>
      </c>
      <c r="D9" s="22">
        <f t="shared" si="1"/>
        <v>1.1177657908473986</v>
      </c>
      <c r="E9" s="22">
        <f t="shared" si="1"/>
        <v>1.694101270227945</v>
      </c>
      <c r="F9" s="22">
        <f t="shared" si="1"/>
        <v>1.7442143727161998</v>
      </c>
      <c r="G9" s="22">
        <f t="shared" si="1"/>
        <v>2.484531059683313</v>
      </c>
      <c r="H9" s="22">
        <f t="shared" si="1"/>
        <v>3.770419349225683</v>
      </c>
    </row>
    <row r="10" spans="2:10" ht="15" customHeight="1" x14ac:dyDescent="0.3">
      <c r="B10" s="17" t="s">
        <v>144</v>
      </c>
      <c r="C10" s="30">
        <f>'Income Statement'!C21</f>
        <v>-38228</v>
      </c>
      <c r="D10" s="30">
        <f>'Income Statement'!D21</f>
        <v>-61965</v>
      </c>
      <c r="E10" s="30">
        <f>'Income Statement'!E21</f>
        <v>-74359</v>
      </c>
      <c r="F10" s="30">
        <f>'Income Statement'!F21</f>
        <v>-104167</v>
      </c>
      <c r="G10" s="30">
        <f>'Income Statement'!G21</f>
        <v>-70320</v>
      </c>
      <c r="H10" s="30">
        <f>'Income Statement'!H21</f>
        <v>-35758</v>
      </c>
    </row>
    <row r="11" spans="2:10" ht="15" customHeight="1" x14ac:dyDescent="0.3">
      <c r="B11" s="17" t="s">
        <v>360</v>
      </c>
      <c r="C11" s="18"/>
      <c r="D11" s="18"/>
      <c r="E11" s="18"/>
      <c r="F11" s="18"/>
      <c r="G11" s="18">
        <v>2326</v>
      </c>
      <c r="H11" s="18">
        <v>726</v>
      </c>
      <c r="J11" s="6" t="s">
        <v>361</v>
      </c>
    </row>
    <row r="12" spans="2:10" ht="15" customHeight="1" x14ac:dyDescent="0.3">
      <c r="B12" s="17" t="s">
        <v>362</v>
      </c>
      <c r="C12" s="18"/>
      <c r="D12" s="18"/>
      <c r="E12" s="18"/>
      <c r="F12" s="18"/>
      <c r="G12" s="18"/>
      <c r="H12" s="18">
        <v>64046</v>
      </c>
      <c r="J12" s="6" t="s">
        <v>363</v>
      </c>
    </row>
    <row r="14" spans="2:10" ht="15" customHeight="1" x14ac:dyDescent="0.3">
      <c r="B14" s="15" t="s">
        <v>364</v>
      </c>
      <c r="C14" s="16"/>
      <c r="D14" s="16"/>
      <c r="E14" s="16"/>
      <c r="F14" s="16"/>
      <c r="G14" s="16"/>
      <c r="H14" s="16"/>
    </row>
    <row r="15" spans="2:10" ht="15" customHeight="1" x14ac:dyDescent="0.3">
      <c r="B15" s="17" t="s">
        <v>365</v>
      </c>
      <c r="C15" s="37">
        <v>0</v>
      </c>
      <c r="D15" s="37">
        <v>0</v>
      </c>
      <c r="E15" s="37">
        <v>0.33179999999999998</v>
      </c>
      <c r="F15" s="37">
        <v>0.32229999999999998</v>
      </c>
      <c r="G15" s="37">
        <v>0.2263</v>
      </c>
      <c r="H15" s="37">
        <v>0.49020000000000002</v>
      </c>
      <c r="J15" s="6" t="s">
        <v>366</v>
      </c>
    </row>
    <row r="16" spans="2:10" ht="15" customHeight="1" x14ac:dyDescent="0.3">
      <c r="B16" s="17" t="s">
        <v>367</v>
      </c>
      <c r="C16" s="37">
        <v>0.72050000000000003</v>
      </c>
      <c r="D16" s="37">
        <v>0.74990000000000001</v>
      </c>
      <c r="E16" s="37">
        <v>0.50360000000000005</v>
      </c>
      <c r="F16" s="37">
        <v>0.48909999999999998</v>
      </c>
      <c r="G16" s="37">
        <v>0.38800000000000001</v>
      </c>
      <c r="H16" s="37">
        <v>0.25640000000000002</v>
      </c>
      <c r="J16" s="6" t="s">
        <v>368</v>
      </c>
    </row>
    <row r="17" spans="2:8" ht="15" customHeight="1" x14ac:dyDescent="0.3">
      <c r="B17" s="17" t="s">
        <v>369</v>
      </c>
      <c r="C17" s="37">
        <v>5.67E-2</v>
      </c>
      <c r="D17" s="37">
        <v>5.28E-2</v>
      </c>
      <c r="E17" s="37">
        <v>2.8199999999999999E-2</v>
      </c>
      <c r="F17" s="37">
        <v>4.1700000000000001E-2</v>
      </c>
      <c r="G17" s="37">
        <v>0.15</v>
      </c>
      <c r="H17" s="37">
        <v>0.11749999999999999</v>
      </c>
    </row>
    <row r="18" spans="2:8" ht="15" customHeight="1" x14ac:dyDescent="0.3">
      <c r="B18" s="17" t="s">
        <v>370</v>
      </c>
      <c r="C18" s="19">
        <f t="shared" ref="C18:H18" si="2">1-C15-C16-C17</f>
        <v>0.22279999999999997</v>
      </c>
      <c r="D18" s="19">
        <f t="shared" si="2"/>
        <v>0.19729999999999998</v>
      </c>
      <c r="E18" s="19">
        <f t="shared" si="2"/>
        <v>0.13639999999999997</v>
      </c>
      <c r="F18" s="19">
        <f t="shared" si="2"/>
        <v>0.14689999999999998</v>
      </c>
      <c r="G18" s="19">
        <f t="shared" si="2"/>
        <v>0.23570000000000005</v>
      </c>
      <c r="H18" s="19">
        <f t="shared" si="2"/>
        <v>0.13590000000000002</v>
      </c>
    </row>
    <row r="19" spans="2:8" ht="15" customHeight="1" x14ac:dyDescent="0.3">
      <c r="B19" s="20" t="s">
        <v>371</v>
      </c>
      <c r="C19" s="45">
        <f t="shared" ref="C19:H19" si="3">SUM(C15:C18)</f>
        <v>1</v>
      </c>
      <c r="D19" s="45">
        <f t="shared" si="3"/>
        <v>1</v>
      </c>
      <c r="E19" s="45">
        <f t="shared" si="3"/>
        <v>1</v>
      </c>
      <c r="F19" s="45">
        <f t="shared" si="3"/>
        <v>0.99999999999999978</v>
      </c>
      <c r="G19" s="45">
        <f t="shared" si="3"/>
        <v>1.0000000000000002</v>
      </c>
      <c r="H19" s="45">
        <f t="shared" si="3"/>
        <v>1</v>
      </c>
    </row>
    <row r="21" spans="2:8" ht="15" customHeight="1" x14ac:dyDescent="0.3">
      <c r="B21" s="15" t="s">
        <v>372</v>
      </c>
      <c r="C21" s="16"/>
      <c r="D21" s="16"/>
      <c r="E21" s="16"/>
      <c r="F21" s="16"/>
      <c r="G21" s="16"/>
      <c r="H21" s="16"/>
    </row>
    <row r="22" spans="2:8" ht="15" customHeight="1" x14ac:dyDescent="0.3">
      <c r="B22" s="46" t="s">
        <v>373</v>
      </c>
    </row>
    <row r="23" spans="2:8" ht="15" customHeight="1" x14ac:dyDescent="0.3">
      <c r="C23" s="47" t="s">
        <v>343</v>
      </c>
      <c r="D23" s="47" t="s">
        <v>374</v>
      </c>
      <c r="E23" s="47" t="s">
        <v>375</v>
      </c>
      <c r="F23" s="47" t="s">
        <v>376</v>
      </c>
    </row>
    <row r="24" spans="2:8" ht="15" customHeight="1" x14ac:dyDescent="0.3">
      <c r="B24" s="35" t="s">
        <v>377</v>
      </c>
      <c r="C24" s="18"/>
      <c r="D24" s="18"/>
      <c r="E24" s="18"/>
      <c r="F24" s="30">
        <f>'Income Statement'!H24</f>
        <v>19411</v>
      </c>
    </row>
    <row r="25" spans="2:8" ht="15" customHeight="1" x14ac:dyDescent="0.3">
      <c r="B25" s="48" t="s">
        <v>378</v>
      </c>
    </row>
    <row r="27" spans="2:8" ht="15" customHeight="1" x14ac:dyDescent="0.3">
      <c r="B27" s="7" t="s">
        <v>181</v>
      </c>
      <c r="C27" s="8"/>
      <c r="D27" s="8"/>
      <c r="E27" s="8"/>
      <c r="F27" s="8"/>
      <c r="G27" s="8"/>
      <c r="H27" s="8"/>
    </row>
    <row r="28" spans="2:8" ht="68.25" customHeight="1" x14ac:dyDescent="0.3">
      <c r="B28" s="3" t="s">
        <v>379</v>
      </c>
      <c r="C28" s="3"/>
      <c r="D28" s="3"/>
      <c r="E28" s="3"/>
      <c r="F28" s="3"/>
      <c r="G28" s="3"/>
      <c r="H28" s="3"/>
    </row>
    <row r="29" spans="2:8" ht="55.5" customHeight="1" x14ac:dyDescent="0.3">
      <c r="B29" s="3" t="s">
        <v>380</v>
      </c>
      <c r="C29" s="3"/>
      <c r="D29" s="3"/>
      <c r="E29" s="3"/>
      <c r="F29" s="3"/>
      <c r="G29" s="3"/>
      <c r="H29" s="3"/>
    </row>
    <row r="30" spans="2:8" ht="43.5" customHeight="1" x14ac:dyDescent="0.3">
      <c r="B30" s="3" t="s">
        <v>381</v>
      </c>
      <c r="C30" s="3"/>
      <c r="D30" s="3"/>
      <c r="E30" s="3"/>
      <c r="F30" s="3"/>
      <c r="G30" s="3"/>
      <c r="H30" s="3"/>
    </row>
    <row r="31" spans="2:8" ht="43.5" customHeight="1" x14ac:dyDescent="0.3">
      <c r="B31" s="3" t="s">
        <v>382</v>
      </c>
      <c r="C31" s="3"/>
      <c r="D31" s="3"/>
      <c r="E31" s="3"/>
      <c r="F31" s="3"/>
      <c r="G31" s="3"/>
      <c r="H31" s="3"/>
    </row>
    <row r="32" spans="2:8" ht="68.25" customHeight="1" x14ac:dyDescent="0.3">
      <c r="B32" s="3" t="s">
        <v>383</v>
      </c>
      <c r="C32" s="3"/>
      <c r="D32" s="3"/>
      <c r="E32" s="3"/>
      <c r="F32" s="3"/>
      <c r="G32" s="3"/>
      <c r="H32" s="3"/>
    </row>
    <row r="33" spans="2:8" ht="43.5" customHeight="1" x14ac:dyDescent="0.3">
      <c r="B33" s="3" t="s">
        <v>384</v>
      </c>
      <c r="C33" s="3"/>
      <c r="D33" s="3"/>
      <c r="E33" s="3"/>
      <c r="F33" s="3"/>
      <c r="G33" s="3"/>
      <c r="H33" s="3"/>
    </row>
    <row r="34" spans="2:8" ht="68.25" customHeight="1" x14ac:dyDescent="0.3">
      <c r="B34" s="3" t="s">
        <v>385</v>
      </c>
      <c r="C34" s="3"/>
      <c r="D34" s="3"/>
      <c r="E34" s="3"/>
      <c r="F34" s="3"/>
      <c r="G34" s="3"/>
      <c r="H34" s="3"/>
    </row>
  </sheetData>
  <mergeCells count="7">
    <mergeCell ref="B33:H33"/>
    <mergeCell ref="B34:H34"/>
    <mergeCell ref="B28:H28"/>
    <mergeCell ref="B29:H29"/>
    <mergeCell ref="B30:H30"/>
    <mergeCell ref="B31:H31"/>
    <mergeCell ref="B32:H3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C37"/>
  <sheetViews>
    <sheetView showGridLines="0" topLeftCell="A27" zoomScale="68" zoomScaleNormal="100" workbookViewId="0"/>
  </sheetViews>
  <sheetFormatPr defaultColWidth="8.6640625" defaultRowHeight="14.4" x14ac:dyDescent="0.3"/>
  <cols>
    <col min="1" max="1" width="2" customWidth="1"/>
    <col min="2" max="2" width="26" customWidth="1"/>
    <col min="3" max="3" width="100" customWidth="1"/>
  </cols>
  <sheetData>
    <row r="2" spans="2:3" ht="17.25" customHeight="1" x14ac:dyDescent="0.3">
      <c r="B2" s="12" t="s">
        <v>386</v>
      </c>
    </row>
    <row r="3" spans="2:3" ht="15" customHeight="1" x14ac:dyDescent="0.3">
      <c r="B3" s="6" t="s">
        <v>387</v>
      </c>
    </row>
    <row r="5" spans="2:3" ht="15" customHeight="1" x14ac:dyDescent="0.3">
      <c r="B5" s="7" t="s">
        <v>388</v>
      </c>
      <c r="C5" s="8"/>
    </row>
    <row r="6" spans="2:3" ht="28.5" customHeight="1" x14ac:dyDescent="0.3">
      <c r="B6" s="49" t="s">
        <v>389</v>
      </c>
      <c r="C6" s="10" t="s">
        <v>390</v>
      </c>
    </row>
    <row r="7" spans="2:3" ht="28.5" customHeight="1" x14ac:dyDescent="0.3">
      <c r="B7" s="49" t="s">
        <v>391</v>
      </c>
      <c r="C7" s="10" t="s">
        <v>392</v>
      </c>
    </row>
    <row r="8" spans="2:3" ht="28.5" customHeight="1" x14ac:dyDescent="0.3">
      <c r="B8" s="49" t="s">
        <v>393</v>
      </c>
      <c r="C8" s="10" t="s">
        <v>394</v>
      </c>
    </row>
    <row r="9" spans="2:3" ht="28.5" customHeight="1" x14ac:dyDescent="0.3">
      <c r="B9" s="49" t="s">
        <v>395</v>
      </c>
      <c r="C9" s="10" t="s">
        <v>396</v>
      </c>
    </row>
    <row r="10" spans="2:3" ht="28.5" customHeight="1" x14ac:dyDescent="0.3">
      <c r="B10" s="49" t="s">
        <v>397</v>
      </c>
      <c r="C10" s="10" t="s">
        <v>398</v>
      </c>
    </row>
    <row r="11" spans="2:3" ht="28.5" customHeight="1" x14ac:dyDescent="0.3">
      <c r="B11" s="49" t="s">
        <v>399</v>
      </c>
      <c r="C11" s="10" t="s">
        <v>400</v>
      </c>
    </row>
    <row r="12" spans="2:3" ht="28.5" customHeight="1" x14ac:dyDescent="0.3">
      <c r="B12" s="49" t="s">
        <v>401</v>
      </c>
      <c r="C12" s="10" t="s">
        <v>402</v>
      </c>
    </row>
    <row r="13" spans="2:3" ht="28.5" customHeight="1" x14ac:dyDescent="0.3">
      <c r="B13" s="49" t="s">
        <v>403</v>
      </c>
      <c r="C13" s="10" t="s">
        <v>404</v>
      </c>
    </row>
    <row r="14" spans="2:3" ht="28.5" customHeight="1" x14ac:dyDescent="0.3">
      <c r="B14" s="49" t="s">
        <v>405</v>
      </c>
      <c r="C14" s="10" t="s">
        <v>406</v>
      </c>
    </row>
    <row r="15" spans="2:3" ht="15" customHeight="1" x14ac:dyDescent="0.3">
      <c r="B15" s="7" t="s">
        <v>407</v>
      </c>
      <c r="C15" s="8"/>
    </row>
    <row r="16" spans="2:3" ht="28.5" customHeight="1" x14ac:dyDescent="0.3">
      <c r="B16" s="49" t="s">
        <v>408</v>
      </c>
      <c r="C16" s="10" t="s">
        <v>409</v>
      </c>
    </row>
    <row r="17" spans="2:3" ht="41.25" customHeight="1" x14ac:dyDescent="0.3">
      <c r="B17" s="49" t="s">
        <v>410</v>
      </c>
      <c r="C17" s="10" t="s">
        <v>411</v>
      </c>
    </row>
    <row r="18" spans="2:3" ht="41.25" customHeight="1" x14ac:dyDescent="0.3">
      <c r="B18" s="49" t="s">
        <v>412</v>
      </c>
      <c r="C18" s="10" t="s">
        <v>413</v>
      </c>
    </row>
    <row r="19" spans="2:3" ht="15" customHeight="1" x14ac:dyDescent="0.3">
      <c r="B19" s="7" t="s">
        <v>414</v>
      </c>
      <c r="C19" s="8"/>
    </row>
    <row r="20" spans="2:3" ht="28.5" customHeight="1" x14ac:dyDescent="0.3">
      <c r="B20" s="50" t="s">
        <v>415</v>
      </c>
      <c r="C20" s="10" t="s">
        <v>416</v>
      </c>
    </row>
    <row r="21" spans="2:3" ht="16.5" customHeight="1" x14ac:dyDescent="0.3">
      <c r="B21" s="50" t="s">
        <v>417</v>
      </c>
      <c r="C21" s="10" t="s">
        <v>418</v>
      </c>
    </row>
    <row r="22" spans="2:3" ht="16.5" customHeight="1" x14ac:dyDescent="0.3">
      <c r="B22" s="50" t="s">
        <v>419</v>
      </c>
      <c r="C22" s="10" t="s">
        <v>420</v>
      </c>
    </row>
    <row r="23" spans="2:3" ht="16.5" customHeight="1" x14ac:dyDescent="0.3">
      <c r="B23" s="50" t="s">
        <v>421</v>
      </c>
      <c r="C23" s="10" t="s">
        <v>422</v>
      </c>
    </row>
    <row r="24" spans="2:3" ht="16.5" customHeight="1" x14ac:dyDescent="0.3">
      <c r="B24" s="50" t="s">
        <v>423</v>
      </c>
      <c r="C24" s="10" t="s">
        <v>424</v>
      </c>
    </row>
    <row r="25" spans="2:3" ht="15" customHeight="1" x14ac:dyDescent="0.3">
      <c r="B25" s="7" t="s">
        <v>425</v>
      </c>
      <c r="C25" s="8"/>
    </row>
    <row r="26" spans="2:3" ht="16.5" customHeight="1" x14ac:dyDescent="0.3">
      <c r="B26" s="51" t="s">
        <v>426</v>
      </c>
      <c r="C26" s="10" t="s">
        <v>427</v>
      </c>
    </row>
    <row r="27" spans="2:3" ht="28.5" customHeight="1" x14ac:dyDescent="0.3">
      <c r="B27" s="51" t="s">
        <v>428</v>
      </c>
      <c r="C27" s="10" t="s">
        <v>429</v>
      </c>
    </row>
    <row r="28" spans="2:3" ht="28.5" customHeight="1" x14ac:dyDescent="0.3">
      <c r="B28" s="51" t="s">
        <v>430</v>
      </c>
      <c r="C28" s="10" t="s">
        <v>431</v>
      </c>
    </row>
    <row r="29" spans="2:3" ht="16.5" customHeight="1" x14ac:dyDescent="0.3">
      <c r="B29" s="51" t="s">
        <v>432</v>
      </c>
      <c r="C29" s="10" t="s">
        <v>433</v>
      </c>
    </row>
    <row r="30" spans="2:3" ht="28.5" customHeight="1" x14ac:dyDescent="0.3">
      <c r="B30" s="51" t="s">
        <v>434</v>
      </c>
      <c r="C30" s="10" t="s">
        <v>435</v>
      </c>
    </row>
    <row r="31" spans="2:3" ht="16.5" customHeight="1" x14ac:dyDescent="0.3">
      <c r="B31" s="51" t="s">
        <v>436</v>
      </c>
      <c r="C31" s="10" t="s">
        <v>437</v>
      </c>
    </row>
    <row r="32" spans="2:3" ht="15" customHeight="1" x14ac:dyDescent="0.3">
      <c r="B32" s="7" t="s">
        <v>438</v>
      </c>
      <c r="C32" s="8"/>
    </row>
    <row r="33" spans="2:3" ht="54" customHeight="1" x14ac:dyDescent="0.3">
      <c r="B33" s="52" t="s">
        <v>439</v>
      </c>
      <c r="C33" s="10" t="s">
        <v>440</v>
      </c>
    </row>
    <row r="34" spans="2:3" ht="41.25" customHeight="1" x14ac:dyDescent="0.3">
      <c r="B34" s="52" t="s">
        <v>441</v>
      </c>
      <c r="C34" s="10" t="s">
        <v>442</v>
      </c>
    </row>
    <row r="35" spans="2:3" ht="41.25" customHeight="1" x14ac:dyDescent="0.3">
      <c r="B35" s="52" t="s">
        <v>443</v>
      </c>
      <c r="C35" s="10" t="s">
        <v>444</v>
      </c>
    </row>
    <row r="36" spans="2:3" ht="41.25" customHeight="1" x14ac:dyDescent="0.3">
      <c r="B36" s="52" t="s">
        <v>445</v>
      </c>
      <c r="C36" s="10" t="s">
        <v>446</v>
      </c>
    </row>
    <row r="37" spans="2:3" ht="66" customHeight="1" x14ac:dyDescent="0.3">
      <c r="B37" s="52" t="s">
        <v>447</v>
      </c>
      <c r="C37" s="10" t="s">
        <v>448</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ACA7-8FE7-41A3-BB18-A03BFADCA264}">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63"/>
  <sheetViews>
    <sheetView showGridLines="0" zoomScaleNormal="100" workbookViewId="0">
      <pane xSplit="2" ySplit="6" topLeftCell="D14" activePane="bottomRight" state="frozen"/>
      <selection pane="topRight" activeCell="C1" sqref="C1"/>
      <selection pane="bottomLeft" activeCell="A7" sqref="A7"/>
      <selection pane="bottomRight" activeCell="H19" sqref="H19"/>
    </sheetView>
  </sheetViews>
  <sheetFormatPr defaultColWidth="8.6640625" defaultRowHeight="14.4" x14ac:dyDescent="0.3"/>
  <cols>
    <col min="2" max="2" width="5" customWidth="1"/>
    <col min="3" max="3" width="30" customWidth="1"/>
    <col min="4" max="4" width="12" customWidth="1"/>
    <col min="5" max="5" width="34" customWidth="1"/>
    <col min="6" max="6" width="30" customWidth="1"/>
    <col min="7" max="7" width="60" customWidth="1"/>
    <col min="8" max="8" width="46" customWidth="1"/>
  </cols>
  <sheetData>
    <row r="2" spans="2:8" ht="17.25" customHeight="1" x14ac:dyDescent="0.3">
      <c r="B2" s="12" t="s">
        <v>449</v>
      </c>
    </row>
    <row r="3" spans="2:8" ht="15" customHeight="1" x14ac:dyDescent="0.3">
      <c r="B3" s="46" t="s">
        <v>450</v>
      </c>
    </row>
    <row r="4" spans="2:8" ht="15" customHeight="1" x14ac:dyDescent="0.3">
      <c r="B4" s="41" t="s">
        <v>451</v>
      </c>
    </row>
    <row r="6" spans="2:8" ht="15" customHeight="1" x14ac:dyDescent="0.3">
      <c r="B6" s="42" t="s">
        <v>452</v>
      </c>
      <c r="C6" s="42" t="s">
        <v>453</v>
      </c>
      <c r="D6" s="42" t="s">
        <v>454</v>
      </c>
      <c r="E6" s="42" t="s">
        <v>455</v>
      </c>
      <c r="F6" s="42" t="s">
        <v>247</v>
      </c>
      <c r="G6" s="42" t="s">
        <v>456</v>
      </c>
      <c r="H6" s="42" t="s">
        <v>248</v>
      </c>
    </row>
    <row r="7" spans="2:8" ht="15" customHeight="1" x14ac:dyDescent="0.3">
      <c r="C7" s="43" t="s">
        <v>457</v>
      </c>
    </row>
    <row r="8" spans="2:8" ht="21.75" customHeight="1" x14ac:dyDescent="0.3">
      <c r="B8" s="40">
        <v>1</v>
      </c>
      <c r="C8" s="40" t="s">
        <v>49</v>
      </c>
      <c r="D8" s="40" t="s">
        <v>458</v>
      </c>
      <c r="E8" s="40" t="s">
        <v>459</v>
      </c>
      <c r="F8" s="40" t="s">
        <v>460</v>
      </c>
      <c r="G8" s="40" t="s">
        <v>461</v>
      </c>
      <c r="H8" s="40" t="s">
        <v>270</v>
      </c>
    </row>
    <row r="9" spans="2:8" ht="21.75" customHeight="1" x14ac:dyDescent="0.3">
      <c r="B9" s="40">
        <v>2</v>
      </c>
      <c r="C9" s="40" t="s">
        <v>51</v>
      </c>
      <c r="D9" s="40" t="s">
        <v>458</v>
      </c>
      <c r="E9" s="40" t="s">
        <v>462</v>
      </c>
      <c r="F9" s="40" t="s">
        <v>463</v>
      </c>
      <c r="G9" s="40" t="s">
        <v>464</v>
      </c>
      <c r="H9" s="40" t="s">
        <v>270</v>
      </c>
    </row>
    <row r="10" spans="2:8" ht="21.75" customHeight="1" x14ac:dyDescent="0.3">
      <c r="B10" s="40">
        <v>3</v>
      </c>
      <c r="C10" s="40" t="s">
        <v>54</v>
      </c>
      <c r="D10" s="40" t="s">
        <v>458</v>
      </c>
      <c r="E10" s="40" t="s">
        <v>465</v>
      </c>
      <c r="F10" s="40" t="s">
        <v>466</v>
      </c>
      <c r="G10" s="40" t="s">
        <v>467</v>
      </c>
      <c r="H10" s="40" t="s">
        <v>270</v>
      </c>
    </row>
    <row r="11" spans="2:8" ht="21.75" customHeight="1" x14ac:dyDescent="0.3">
      <c r="B11" s="40">
        <v>4</v>
      </c>
      <c r="C11" s="40" t="s">
        <v>57</v>
      </c>
      <c r="D11" s="40" t="s">
        <v>458</v>
      </c>
      <c r="E11" s="40" t="s">
        <v>468</v>
      </c>
      <c r="F11" s="40" t="s">
        <v>466</v>
      </c>
      <c r="G11" s="40" t="s">
        <v>469</v>
      </c>
      <c r="H11" s="40" t="s">
        <v>270</v>
      </c>
    </row>
    <row r="12" spans="2:8" ht="32.25" customHeight="1" x14ac:dyDescent="0.3">
      <c r="B12" s="40">
        <v>5</v>
      </c>
      <c r="C12" s="40" t="s">
        <v>66</v>
      </c>
      <c r="D12" s="40" t="s">
        <v>458</v>
      </c>
      <c r="E12" s="40" t="s">
        <v>470</v>
      </c>
      <c r="F12" s="40" t="s">
        <v>471</v>
      </c>
      <c r="G12" s="40" t="s">
        <v>472</v>
      </c>
      <c r="H12" s="40" t="s">
        <v>332</v>
      </c>
    </row>
    <row r="13" spans="2:8" ht="32.25" customHeight="1" x14ac:dyDescent="0.3">
      <c r="B13" s="40">
        <v>6</v>
      </c>
      <c r="C13" s="40" t="s">
        <v>473</v>
      </c>
      <c r="D13" s="40" t="s">
        <v>47</v>
      </c>
      <c r="E13" s="40" t="s">
        <v>474</v>
      </c>
      <c r="F13" s="40" t="s">
        <v>475</v>
      </c>
      <c r="G13" s="40" t="s">
        <v>476</v>
      </c>
      <c r="H13" s="40" t="s">
        <v>332</v>
      </c>
    </row>
    <row r="14" spans="2:8" ht="21.75" customHeight="1" x14ac:dyDescent="0.3">
      <c r="B14" s="40">
        <v>7</v>
      </c>
      <c r="C14" s="40" t="s">
        <v>417</v>
      </c>
      <c r="D14" s="40" t="s">
        <v>458</v>
      </c>
      <c r="E14" s="40" t="s">
        <v>477</v>
      </c>
      <c r="F14" s="40" t="s">
        <v>478</v>
      </c>
      <c r="G14" s="40" t="s">
        <v>479</v>
      </c>
      <c r="H14" s="40" t="s">
        <v>270</v>
      </c>
    </row>
    <row r="15" spans="2:8" ht="32.25" customHeight="1" x14ac:dyDescent="0.3">
      <c r="B15" s="40">
        <v>8</v>
      </c>
      <c r="C15" s="40" t="s">
        <v>71</v>
      </c>
      <c r="D15" s="40" t="s">
        <v>458</v>
      </c>
      <c r="E15" s="40" t="s">
        <v>480</v>
      </c>
      <c r="F15" s="40" t="s">
        <v>481</v>
      </c>
      <c r="G15" s="40" t="s">
        <v>482</v>
      </c>
      <c r="H15" s="40" t="s">
        <v>270</v>
      </c>
    </row>
    <row r="16" spans="2:8" ht="21.75" customHeight="1" x14ac:dyDescent="0.3">
      <c r="B16" s="40">
        <v>9</v>
      </c>
      <c r="C16" s="40" t="s">
        <v>73</v>
      </c>
      <c r="D16" s="40" t="s">
        <v>458</v>
      </c>
      <c r="E16" s="40" t="s">
        <v>483</v>
      </c>
      <c r="F16" s="40" t="s">
        <v>484</v>
      </c>
      <c r="G16" s="40" t="s">
        <v>485</v>
      </c>
      <c r="H16" s="40" t="s">
        <v>270</v>
      </c>
    </row>
    <row r="17" spans="2:8" ht="21.75" customHeight="1" x14ac:dyDescent="0.3">
      <c r="B17" s="40">
        <v>10</v>
      </c>
      <c r="C17" s="40" t="s">
        <v>79</v>
      </c>
      <c r="D17" s="40" t="s">
        <v>458</v>
      </c>
      <c r="E17" s="40" t="s">
        <v>486</v>
      </c>
      <c r="F17" s="40" t="s">
        <v>487</v>
      </c>
      <c r="G17" s="40" t="s">
        <v>488</v>
      </c>
      <c r="H17" s="40" t="s">
        <v>489</v>
      </c>
    </row>
    <row r="18" spans="2:8" ht="32.25" customHeight="1" x14ac:dyDescent="0.3">
      <c r="B18" s="40">
        <v>11</v>
      </c>
      <c r="C18" s="40" t="s">
        <v>490</v>
      </c>
      <c r="D18" s="40" t="s">
        <v>458</v>
      </c>
      <c r="E18" s="40" t="s">
        <v>491</v>
      </c>
      <c r="F18" s="40" t="s">
        <v>492</v>
      </c>
      <c r="G18" s="40" t="s">
        <v>493</v>
      </c>
      <c r="H18" s="40" t="s">
        <v>628</v>
      </c>
    </row>
    <row r="19" spans="2:8" ht="15" customHeight="1" x14ac:dyDescent="0.3">
      <c r="C19" s="43" t="s">
        <v>494</v>
      </c>
    </row>
    <row r="20" spans="2:8" ht="21.75" customHeight="1" x14ac:dyDescent="0.3">
      <c r="B20" s="40">
        <v>12</v>
      </c>
      <c r="C20" s="40" t="s">
        <v>495</v>
      </c>
      <c r="D20" s="40" t="s">
        <v>496</v>
      </c>
      <c r="E20" s="40" t="s">
        <v>497</v>
      </c>
      <c r="F20" s="40" t="s">
        <v>498</v>
      </c>
      <c r="G20" s="40" t="s">
        <v>499</v>
      </c>
      <c r="H20" s="40" t="s">
        <v>500</v>
      </c>
    </row>
    <row r="21" spans="2:8" ht="21.75" customHeight="1" x14ac:dyDescent="0.3">
      <c r="B21" s="40">
        <v>13</v>
      </c>
      <c r="C21" s="40" t="s">
        <v>501</v>
      </c>
      <c r="D21" s="40" t="s">
        <v>496</v>
      </c>
      <c r="E21" s="40" t="s">
        <v>497</v>
      </c>
      <c r="F21" s="40" t="s">
        <v>498</v>
      </c>
      <c r="G21" s="40" t="s">
        <v>502</v>
      </c>
      <c r="H21" s="40" t="s">
        <v>500</v>
      </c>
    </row>
    <row r="22" spans="2:8" ht="32.25" customHeight="1" x14ac:dyDescent="0.3">
      <c r="B22" s="40">
        <v>14</v>
      </c>
      <c r="C22" s="40" t="s">
        <v>503</v>
      </c>
      <c r="D22" s="40" t="s">
        <v>42</v>
      </c>
      <c r="E22" s="40" t="s">
        <v>504</v>
      </c>
      <c r="F22" s="40" t="s">
        <v>505</v>
      </c>
      <c r="G22" s="40" t="s">
        <v>506</v>
      </c>
      <c r="H22" s="40" t="s">
        <v>507</v>
      </c>
    </row>
    <row r="23" spans="2:8" ht="32.25" customHeight="1" x14ac:dyDescent="0.3">
      <c r="B23" s="40">
        <v>15</v>
      </c>
      <c r="C23" s="40" t="s">
        <v>503</v>
      </c>
      <c r="D23" s="40" t="s">
        <v>508</v>
      </c>
      <c r="E23" s="40" t="s">
        <v>509</v>
      </c>
      <c r="F23" s="40" t="s">
        <v>510</v>
      </c>
      <c r="G23" s="40" t="s">
        <v>511</v>
      </c>
      <c r="H23" s="40" t="s">
        <v>507</v>
      </c>
    </row>
    <row r="24" spans="2:8" ht="15" customHeight="1" x14ac:dyDescent="0.3">
      <c r="C24" s="43" t="s">
        <v>512</v>
      </c>
    </row>
    <row r="25" spans="2:8" ht="21.75" customHeight="1" x14ac:dyDescent="0.3">
      <c r="B25" s="40">
        <v>16</v>
      </c>
      <c r="C25" s="40" t="s">
        <v>513</v>
      </c>
      <c r="D25" s="40" t="s">
        <v>458</v>
      </c>
      <c r="E25" s="40" t="s">
        <v>514</v>
      </c>
      <c r="F25" s="40" t="s">
        <v>515</v>
      </c>
      <c r="G25" s="40" t="s">
        <v>516</v>
      </c>
      <c r="H25" s="40" t="s">
        <v>270</v>
      </c>
    </row>
    <row r="26" spans="2:8" ht="21.75" customHeight="1" x14ac:dyDescent="0.3">
      <c r="B26" s="40">
        <v>17</v>
      </c>
      <c r="C26" s="40" t="s">
        <v>517</v>
      </c>
      <c r="D26" s="40" t="s">
        <v>458</v>
      </c>
      <c r="E26" s="40" t="s">
        <v>518</v>
      </c>
      <c r="F26" s="40" t="s">
        <v>466</v>
      </c>
      <c r="G26" s="40" t="s">
        <v>519</v>
      </c>
      <c r="H26" s="40" t="s">
        <v>270</v>
      </c>
    </row>
    <row r="27" spans="2:8" ht="21.75" customHeight="1" x14ac:dyDescent="0.3">
      <c r="B27" s="40">
        <v>18</v>
      </c>
      <c r="C27" s="40" t="s">
        <v>520</v>
      </c>
      <c r="D27" s="40" t="s">
        <v>458</v>
      </c>
      <c r="E27" s="40" t="s">
        <v>521</v>
      </c>
      <c r="F27" s="40" t="s">
        <v>522</v>
      </c>
      <c r="G27" s="40" t="s">
        <v>523</v>
      </c>
      <c r="H27" s="40"/>
    </row>
    <row r="28" spans="2:8" ht="15" customHeight="1" x14ac:dyDescent="0.3">
      <c r="C28" s="43" t="s">
        <v>524</v>
      </c>
    </row>
    <row r="29" spans="2:8" ht="21.75" customHeight="1" x14ac:dyDescent="0.3">
      <c r="B29" s="40">
        <v>19</v>
      </c>
      <c r="C29" s="40" t="s">
        <v>525</v>
      </c>
      <c r="D29" s="40" t="s">
        <v>458</v>
      </c>
      <c r="E29" s="40" t="s">
        <v>526</v>
      </c>
      <c r="F29" s="40" t="s">
        <v>515</v>
      </c>
      <c r="G29" s="40" t="s">
        <v>527</v>
      </c>
      <c r="H29" s="40" t="s">
        <v>270</v>
      </c>
    </row>
    <row r="30" spans="2:8" ht="21.75" customHeight="1" x14ac:dyDescent="0.3">
      <c r="B30" s="40">
        <v>20</v>
      </c>
      <c r="C30" s="40" t="s">
        <v>528</v>
      </c>
      <c r="D30" s="40" t="s">
        <v>47</v>
      </c>
      <c r="E30" s="40" t="s">
        <v>529</v>
      </c>
      <c r="F30" s="40" t="s">
        <v>530</v>
      </c>
      <c r="G30" s="40" t="s">
        <v>531</v>
      </c>
      <c r="H30" s="40" t="s">
        <v>532</v>
      </c>
    </row>
    <row r="31" spans="2:8" ht="15" customHeight="1" x14ac:dyDescent="0.3">
      <c r="B31" s="40">
        <v>21</v>
      </c>
      <c r="C31" s="40" t="s">
        <v>533</v>
      </c>
      <c r="D31" s="40" t="s">
        <v>534</v>
      </c>
      <c r="E31" s="40" t="s">
        <v>535</v>
      </c>
      <c r="F31" s="40" t="s">
        <v>536</v>
      </c>
      <c r="G31" s="40" t="s">
        <v>537</v>
      </c>
      <c r="H31" s="40" t="s">
        <v>538</v>
      </c>
    </row>
    <row r="32" spans="2:8" ht="15" customHeight="1" x14ac:dyDescent="0.3">
      <c r="C32" s="43" t="s">
        <v>539</v>
      </c>
    </row>
    <row r="33" spans="2:8" ht="21.75" customHeight="1" x14ac:dyDescent="0.3">
      <c r="B33" s="40">
        <v>22</v>
      </c>
      <c r="C33" s="40" t="s">
        <v>540</v>
      </c>
      <c r="D33" s="40" t="s">
        <v>458</v>
      </c>
      <c r="E33" s="40" t="s">
        <v>541</v>
      </c>
      <c r="F33" s="40" t="s">
        <v>466</v>
      </c>
      <c r="G33" s="40" t="s">
        <v>542</v>
      </c>
      <c r="H33" s="40" t="s">
        <v>270</v>
      </c>
    </row>
    <row r="34" spans="2:8" ht="21.75" customHeight="1" x14ac:dyDescent="0.3">
      <c r="B34" s="40">
        <v>23</v>
      </c>
      <c r="C34" s="40" t="s">
        <v>543</v>
      </c>
      <c r="D34" s="40" t="s">
        <v>458</v>
      </c>
      <c r="E34" s="40" t="s">
        <v>497</v>
      </c>
      <c r="F34" s="40" t="s">
        <v>544</v>
      </c>
      <c r="G34" s="40" t="s">
        <v>545</v>
      </c>
      <c r="H34" s="40" t="s">
        <v>270</v>
      </c>
    </row>
    <row r="35" spans="2:8" ht="21.75" customHeight="1" x14ac:dyDescent="0.3">
      <c r="B35" s="40">
        <v>24</v>
      </c>
      <c r="C35" s="40" t="s">
        <v>546</v>
      </c>
      <c r="D35" s="40" t="s">
        <v>547</v>
      </c>
      <c r="E35" s="40" t="s">
        <v>548</v>
      </c>
      <c r="F35" s="40" t="s">
        <v>549</v>
      </c>
      <c r="G35" s="40" t="s">
        <v>550</v>
      </c>
      <c r="H35" s="40" t="s">
        <v>341</v>
      </c>
    </row>
    <row r="36" spans="2:8" ht="21.75" customHeight="1" x14ac:dyDescent="0.3">
      <c r="B36" s="40">
        <v>25</v>
      </c>
      <c r="C36" s="40" t="s">
        <v>551</v>
      </c>
      <c r="D36" s="40" t="s">
        <v>47</v>
      </c>
      <c r="E36" s="40" t="s">
        <v>552</v>
      </c>
      <c r="F36" s="40" t="s">
        <v>553</v>
      </c>
      <c r="G36" s="40" t="s">
        <v>554</v>
      </c>
      <c r="H36" s="40" t="s">
        <v>341</v>
      </c>
    </row>
    <row r="37" spans="2:8" ht="21.75" customHeight="1" x14ac:dyDescent="0.3">
      <c r="B37" s="40">
        <v>26</v>
      </c>
      <c r="C37" s="40" t="s">
        <v>555</v>
      </c>
      <c r="D37" s="40" t="s">
        <v>556</v>
      </c>
      <c r="E37" s="40" t="s">
        <v>535</v>
      </c>
      <c r="F37" s="40" t="s">
        <v>536</v>
      </c>
      <c r="G37" s="40" t="s">
        <v>557</v>
      </c>
      <c r="H37" s="40"/>
    </row>
    <row r="38" spans="2:8" ht="15" customHeight="1" x14ac:dyDescent="0.3">
      <c r="C38" s="43" t="s">
        <v>558</v>
      </c>
    </row>
    <row r="39" spans="2:8" ht="32.25" customHeight="1" x14ac:dyDescent="0.3">
      <c r="B39" s="40">
        <v>27</v>
      </c>
      <c r="C39" s="40" t="s">
        <v>559</v>
      </c>
      <c r="D39" s="40" t="s">
        <v>342</v>
      </c>
      <c r="E39" s="40" t="s">
        <v>560</v>
      </c>
      <c r="F39" s="40" t="s">
        <v>561</v>
      </c>
      <c r="G39" s="40" t="s">
        <v>562</v>
      </c>
      <c r="H39" s="40" t="s">
        <v>347</v>
      </c>
    </row>
    <row r="40" spans="2:8" ht="15" customHeight="1" x14ac:dyDescent="0.3">
      <c r="C40" s="43" t="s">
        <v>563</v>
      </c>
    </row>
    <row r="41" spans="2:8" ht="32.25" customHeight="1" x14ac:dyDescent="0.3">
      <c r="B41" s="40"/>
      <c r="C41" s="40" t="s">
        <v>564</v>
      </c>
      <c r="D41" s="40"/>
      <c r="E41" s="40"/>
      <c r="F41" s="40"/>
      <c r="G41" s="40" t="s">
        <v>565</v>
      </c>
      <c r="H41" s="40"/>
    </row>
    <row r="42" spans="2:8" ht="32.25" customHeight="1" x14ac:dyDescent="0.3">
      <c r="B42" s="40"/>
      <c r="C42" s="40" t="s">
        <v>566</v>
      </c>
      <c r="D42" s="40"/>
      <c r="E42" s="40"/>
      <c r="F42" s="40"/>
      <c r="G42" s="40" t="s">
        <v>567</v>
      </c>
      <c r="H42" s="40"/>
    </row>
    <row r="43" spans="2:8" ht="21.75" customHeight="1" x14ac:dyDescent="0.3">
      <c r="B43" s="40"/>
      <c r="C43" s="40" t="s">
        <v>568</v>
      </c>
      <c r="D43" s="40"/>
      <c r="E43" s="40"/>
      <c r="F43" s="40"/>
      <c r="G43" s="40" t="s">
        <v>569</v>
      </c>
      <c r="H43" s="40" t="s">
        <v>570</v>
      </c>
    </row>
    <row r="45" spans="2:8" ht="15" customHeight="1" x14ac:dyDescent="0.3">
      <c r="C45" s="43" t="s">
        <v>571</v>
      </c>
    </row>
    <row r="46" spans="2:8" ht="21.75" customHeight="1" x14ac:dyDescent="0.3">
      <c r="B46" s="40">
        <v>28</v>
      </c>
      <c r="C46" s="40" t="s">
        <v>572</v>
      </c>
      <c r="D46" s="40" t="s">
        <v>458</v>
      </c>
      <c r="E46" s="40" t="s">
        <v>573</v>
      </c>
      <c r="F46" s="40" t="s">
        <v>574</v>
      </c>
      <c r="G46" s="40" t="s">
        <v>575</v>
      </c>
      <c r="H46" s="40" t="s">
        <v>270</v>
      </c>
    </row>
    <row r="47" spans="2:8" ht="21.75" customHeight="1" x14ac:dyDescent="0.3">
      <c r="B47" s="40">
        <v>29</v>
      </c>
      <c r="C47" s="40" t="s">
        <v>576</v>
      </c>
      <c r="D47" s="40" t="s">
        <v>458</v>
      </c>
      <c r="E47" s="40" t="s">
        <v>577</v>
      </c>
      <c r="F47" s="40" t="s">
        <v>515</v>
      </c>
      <c r="G47" s="40" t="s">
        <v>578</v>
      </c>
      <c r="H47" s="40" t="s">
        <v>270</v>
      </c>
    </row>
    <row r="48" spans="2:8" ht="21.75" customHeight="1" x14ac:dyDescent="0.3">
      <c r="B48" s="40">
        <v>30</v>
      </c>
      <c r="C48" s="40" t="s">
        <v>579</v>
      </c>
      <c r="D48" s="40" t="s">
        <v>496</v>
      </c>
      <c r="E48" s="40" t="s">
        <v>580</v>
      </c>
      <c r="F48" s="40" t="s">
        <v>498</v>
      </c>
      <c r="G48" s="40" t="s">
        <v>581</v>
      </c>
      <c r="H48" s="40" t="s">
        <v>500</v>
      </c>
    </row>
    <row r="49" spans="2:8" ht="21.75" customHeight="1" x14ac:dyDescent="0.3">
      <c r="B49" s="40">
        <v>31</v>
      </c>
      <c r="C49" s="40" t="s">
        <v>582</v>
      </c>
      <c r="D49" s="40" t="s">
        <v>42</v>
      </c>
      <c r="E49" s="40" t="s">
        <v>583</v>
      </c>
      <c r="F49" s="40" t="s">
        <v>584</v>
      </c>
      <c r="G49" s="40" t="s">
        <v>585</v>
      </c>
      <c r="H49" s="40" t="s">
        <v>270</v>
      </c>
    </row>
    <row r="50" spans="2:8" ht="21.75" customHeight="1" x14ac:dyDescent="0.3">
      <c r="B50" s="40">
        <v>32</v>
      </c>
      <c r="C50" s="40" t="s">
        <v>586</v>
      </c>
      <c r="D50" s="40" t="s">
        <v>458</v>
      </c>
      <c r="E50" s="40" t="s">
        <v>202</v>
      </c>
      <c r="F50" s="40" t="s">
        <v>587</v>
      </c>
      <c r="G50" s="40" t="s">
        <v>588</v>
      </c>
      <c r="H50" s="40"/>
    </row>
    <row r="51" spans="2:8" ht="15" customHeight="1" x14ac:dyDescent="0.3">
      <c r="B51" s="40">
        <v>33</v>
      </c>
      <c r="C51" s="40" t="s">
        <v>589</v>
      </c>
      <c r="D51" s="40" t="s">
        <v>458</v>
      </c>
      <c r="E51" s="40" t="s">
        <v>202</v>
      </c>
      <c r="F51" s="40" t="s">
        <v>587</v>
      </c>
      <c r="G51" s="40" t="s">
        <v>590</v>
      </c>
      <c r="H51" s="40"/>
    </row>
    <row r="52" spans="2:8" ht="32.25" customHeight="1" x14ac:dyDescent="0.3">
      <c r="B52" s="40">
        <v>34</v>
      </c>
      <c r="C52" s="40" t="s">
        <v>591</v>
      </c>
      <c r="D52" s="40" t="s">
        <v>42</v>
      </c>
      <c r="E52" s="40" t="s">
        <v>592</v>
      </c>
      <c r="F52" s="40" t="s">
        <v>261</v>
      </c>
      <c r="G52" s="40" t="s">
        <v>593</v>
      </c>
      <c r="H52" s="40" t="s">
        <v>262</v>
      </c>
    </row>
    <row r="53" spans="2:8" ht="32.25" customHeight="1" x14ac:dyDescent="0.3">
      <c r="B53" s="40">
        <v>35</v>
      </c>
      <c r="C53" s="40" t="s">
        <v>594</v>
      </c>
      <c r="D53" s="40" t="s">
        <v>44</v>
      </c>
      <c r="E53" s="40" t="s">
        <v>595</v>
      </c>
      <c r="F53" s="40" t="s">
        <v>261</v>
      </c>
      <c r="G53" s="40" t="s">
        <v>596</v>
      </c>
      <c r="H53" s="40" t="s">
        <v>262</v>
      </c>
    </row>
    <row r="54" spans="2:8" ht="21.75" customHeight="1" x14ac:dyDescent="0.3">
      <c r="B54" s="40">
        <v>36</v>
      </c>
      <c r="C54" s="40" t="s">
        <v>597</v>
      </c>
      <c r="D54" s="40" t="s">
        <v>46</v>
      </c>
      <c r="E54" s="40" t="s">
        <v>598</v>
      </c>
      <c r="F54" s="40" t="s">
        <v>295</v>
      </c>
      <c r="G54" s="40" t="s">
        <v>599</v>
      </c>
      <c r="H54" s="40" t="s">
        <v>296</v>
      </c>
    </row>
    <row r="55" spans="2:8" ht="32.25" customHeight="1" x14ac:dyDescent="0.3">
      <c r="B55" s="40">
        <v>37</v>
      </c>
      <c r="C55" s="40" t="s">
        <v>600</v>
      </c>
      <c r="D55" s="40" t="s">
        <v>45</v>
      </c>
      <c r="E55" s="40" t="s">
        <v>601</v>
      </c>
      <c r="F55" s="40" t="s">
        <v>274</v>
      </c>
      <c r="G55" s="40" t="s">
        <v>602</v>
      </c>
      <c r="H55" s="40" t="s">
        <v>275</v>
      </c>
    </row>
    <row r="56" spans="2:8" ht="21.75" customHeight="1" x14ac:dyDescent="0.3">
      <c r="B56" s="40">
        <v>38</v>
      </c>
      <c r="C56" s="40" t="s">
        <v>603</v>
      </c>
      <c r="D56" s="40" t="s">
        <v>46</v>
      </c>
      <c r="E56" s="40" t="s">
        <v>604</v>
      </c>
      <c r="F56" s="40" t="s">
        <v>290</v>
      </c>
      <c r="G56" s="40" t="s">
        <v>605</v>
      </c>
      <c r="H56" s="40" t="s">
        <v>291</v>
      </c>
    </row>
    <row r="57" spans="2:8" ht="32.25" customHeight="1" x14ac:dyDescent="0.3">
      <c r="B57" s="40">
        <v>39</v>
      </c>
      <c r="C57" s="40" t="s">
        <v>606</v>
      </c>
      <c r="D57" s="40" t="s">
        <v>46</v>
      </c>
      <c r="E57" s="40" t="s">
        <v>607</v>
      </c>
      <c r="F57" s="40" t="s">
        <v>303</v>
      </c>
      <c r="G57" s="40" t="s">
        <v>608</v>
      </c>
      <c r="H57" s="40" t="s">
        <v>304</v>
      </c>
    </row>
    <row r="58" spans="2:8" ht="21.75" customHeight="1" x14ac:dyDescent="0.3">
      <c r="B58" s="40">
        <v>40</v>
      </c>
      <c r="C58" s="40" t="s">
        <v>609</v>
      </c>
      <c r="D58" s="40" t="s">
        <v>46</v>
      </c>
      <c r="E58" s="40" t="s">
        <v>610</v>
      </c>
      <c r="F58" s="40" t="s">
        <v>290</v>
      </c>
      <c r="G58" s="40" t="s">
        <v>611</v>
      </c>
      <c r="H58" s="40" t="s">
        <v>291</v>
      </c>
    </row>
    <row r="59" spans="2:8" ht="21.75" customHeight="1" x14ac:dyDescent="0.3">
      <c r="B59" s="40">
        <v>41</v>
      </c>
      <c r="C59" s="40" t="s">
        <v>612</v>
      </c>
      <c r="D59" s="40" t="s">
        <v>613</v>
      </c>
      <c r="E59" s="40" t="s">
        <v>614</v>
      </c>
      <c r="F59" s="40" t="s">
        <v>615</v>
      </c>
      <c r="G59" s="40" t="s">
        <v>616</v>
      </c>
      <c r="H59" s="40" t="s">
        <v>323</v>
      </c>
    </row>
    <row r="60" spans="2:8" ht="32.25" customHeight="1" x14ac:dyDescent="0.3">
      <c r="B60" s="40">
        <v>42</v>
      </c>
      <c r="C60" s="40" t="s">
        <v>617</v>
      </c>
      <c r="D60" s="40" t="s">
        <v>47</v>
      </c>
      <c r="E60" s="40" t="s">
        <v>618</v>
      </c>
      <c r="F60" s="40" t="s">
        <v>331</v>
      </c>
      <c r="G60" s="40" t="s">
        <v>619</v>
      </c>
      <c r="H60" s="40" t="s">
        <v>332</v>
      </c>
    </row>
    <row r="61" spans="2:8" ht="21.75" customHeight="1" x14ac:dyDescent="0.3">
      <c r="B61" s="40">
        <v>43</v>
      </c>
      <c r="C61" s="40" t="s">
        <v>620</v>
      </c>
      <c r="D61" s="40" t="s">
        <v>47</v>
      </c>
      <c r="E61" s="40" t="s">
        <v>621</v>
      </c>
      <c r="F61" s="40" t="s">
        <v>340</v>
      </c>
      <c r="G61" s="40" t="s">
        <v>622</v>
      </c>
      <c r="H61" s="40" t="s">
        <v>341</v>
      </c>
    </row>
    <row r="62" spans="2:8" ht="32.25" customHeight="1" x14ac:dyDescent="0.3">
      <c r="B62" s="40">
        <v>44</v>
      </c>
      <c r="C62" s="40" t="s">
        <v>623</v>
      </c>
      <c r="D62" s="40" t="s">
        <v>343</v>
      </c>
      <c r="E62" s="40" t="s">
        <v>624</v>
      </c>
      <c r="F62" s="40" t="s">
        <v>346</v>
      </c>
      <c r="G62" s="40" t="s">
        <v>625</v>
      </c>
      <c r="H62" s="40" t="s">
        <v>347</v>
      </c>
    </row>
    <row r="63" spans="2:8" ht="42.75" customHeight="1" x14ac:dyDescent="0.3">
      <c r="B63" s="40"/>
      <c r="C63" s="40" t="s">
        <v>626</v>
      </c>
      <c r="D63" s="40"/>
      <c r="E63" s="40"/>
      <c r="F63" s="40"/>
      <c r="G63" s="40" t="s">
        <v>627</v>
      </c>
      <c r="H63" s="40"/>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Charts</vt:lpstr>
      <vt:lpstr>Income Statement</vt:lpstr>
      <vt:lpstr>Working Capital</vt:lpstr>
      <vt:lpstr>Ratios</vt:lpstr>
      <vt:lpstr>Investment</vt:lpstr>
      <vt:lpstr>Investment Timeline</vt:lpstr>
      <vt:lpstr>Financing</vt:lpstr>
      <vt:lpstr>Findings</vt:lpstr>
      <vt:lpstr>Sheet1</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Harshita Tripathi</cp:lastModifiedBy>
  <cp:revision>1</cp:revision>
  <dcterms:created xsi:type="dcterms:W3CDTF">2026-09-16T11:51:47Z</dcterms:created>
  <dcterms:modified xsi:type="dcterms:W3CDTF">2026-09-17T10:14:23Z</dcterms:modified>
  <dc:language>en-US</dc:language>
</cp:coreProperties>
</file>