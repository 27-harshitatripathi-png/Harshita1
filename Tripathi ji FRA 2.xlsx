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hidePivotFieldList="1" defaultThemeVersion="124226"/>
  <xr:revisionPtr revIDLastSave="0" documentId="8_{E1249988-0560-49C6-87CC-C3CBEC2D168B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Income statement" sheetId="1" r:id="rId1"/>
    <sheet name="DASHBOARD" sheetId="9" r:id="rId2"/>
    <sheet name="BALANCE C" sheetId="12" r:id="rId3"/>
    <sheet name="Sheet8" sheetId="10" state="hidden" r:id="rId4"/>
    <sheet name="YOY GROWTH" sheetId="3" state="hidden" r:id="rId5"/>
    <sheet name="RATIOS" sheetId="6" state="hidden" r:id="rId6"/>
    <sheet name="Balance Sheet" sheetId="5" state="hidden" r:id="rId7"/>
    <sheet name="CFS" sheetId="11" r:id="rId8"/>
    <sheet name="one pager (2)" sheetId="13" state="hidden" r:id="rId9"/>
    <sheet name="one pager" sheetId="2" r:id="rId10"/>
    <sheet name="WORKIN SHEET" sheetId="8" state="hidden" r:id="rId11"/>
    <sheet name="Sheet4" sheetId="14" state="hidden" r:id="rId12"/>
  </sheets>
  <calcPr calcId="191029"/>
  <pivotCaches>
    <pivotCache cacheId="14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G27" i="2"/>
  <c r="D27" i="2"/>
  <c r="G25" i="13"/>
  <c r="F25" i="13"/>
  <c r="E25" i="13"/>
  <c r="D25" i="13"/>
  <c r="E25" i="2"/>
  <c r="F25" i="2"/>
  <c r="G25" i="2"/>
  <c r="D25" i="2"/>
  <c r="J5" i="9"/>
  <c r="G5" i="9"/>
  <c r="D5" i="9"/>
  <c r="A5" i="9"/>
  <c r="G40" i="13"/>
  <c r="F40" i="13"/>
  <c r="E40" i="13"/>
  <c r="D40" i="13"/>
  <c r="C40" i="13"/>
  <c r="B40" i="13"/>
  <c r="G39" i="13"/>
  <c r="G48" i="13" s="1"/>
  <c r="F39" i="13"/>
  <c r="E39" i="13"/>
  <c r="D39" i="13"/>
  <c r="C39" i="13"/>
  <c r="B39" i="13"/>
  <c r="G38" i="13"/>
  <c r="F38" i="13"/>
  <c r="E38" i="13"/>
  <c r="D38" i="13"/>
  <c r="C38" i="13"/>
  <c r="B38" i="13"/>
  <c r="G37" i="13"/>
  <c r="F37" i="13"/>
  <c r="E37" i="13"/>
  <c r="D37" i="13"/>
  <c r="C37" i="13"/>
  <c r="B37" i="13"/>
  <c r="B40" i="2"/>
  <c r="C40" i="2"/>
  <c r="D40" i="2"/>
  <c r="D49" i="2" s="1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C39" i="2"/>
  <c r="D39" i="2"/>
  <c r="E39" i="2"/>
  <c r="F39" i="2"/>
  <c r="G39" i="2"/>
  <c r="B39" i="2"/>
  <c r="E49" i="13" l="1"/>
  <c r="E48" i="2"/>
  <c r="F51" i="2"/>
  <c r="D50" i="2"/>
  <c r="F49" i="2"/>
  <c r="F47" i="13"/>
  <c r="F49" i="13"/>
  <c r="D46" i="13"/>
  <c r="D48" i="13"/>
  <c r="E46" i="13"/>
  <c r="G51" i="13"/>
  <c r="G47" i="13"/>
  <c r="E48" i="13"/>
  <c r="G49" i="13"/>
  <c r="G46" i="13"/>
  <c r="F46" i="13"/>
  <c r="D47" i="13"/>
  <c r="F48" i="13"/>
  <c r="D49" i="13"/>
  <c r="G50" i="13"/>
  <c r="E47" i="13"/>
  <c r="G52" i="13"/>
  <c r="F48" i="2"/>
  <c r="G51" i="2"/>
  <c r="E50" i="2"/>
  <c r="G49" i="2"/>
  <c r="G48" i="2"/>
  <c r="D51" i="2"/>
  <c r="F50" i="2"/>
  <c r="G52" i="2"/>
  <c r="G9" i="9"/>
  <c r="D48" i="2"/>
  <c r="G50" i="2"/>
  <c r="G54" i="2"/>
  <c r="G53" i="2"/>
  <c r="D9" i="9"/>
  <c r="E49" i="2"/>
  <c r="E51" i="2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19" i="3"/>
  <c r="E19" i="3"/>
  <c r="D19" i="3"/>
  <c r="C19" i="3"/>
  <c r="B19" i="3"/>
  <c r="F17" i="3"/>
  <c r="E17" i="3"/>
  <c r="D17" i="3"/>
  <c r="C17" i="3"/>
  <c r="B17" i="3"/>
  <c r="F15" i="3"/>
  <c r="E15" i="3"/>
  <c r="D15" i="3"/>
  <c r="C15" i="3"/>
  <c r="B15" i="3"/>
  <c r="F13" i="3"/>
  <c r="E13" i="3"/>
  <c r="D13" i="3"/>
  <c r="C13" i="3"/>
  <c r="B13" i="3"/>
  <c r="F11" i="3"/>
  <c r="E11" i="3"/>
  <c r="D11" i="3"/>
  <c r="C11" i="3"/>
  <c r="B11" i="3"/>
  <c r="F9" i="3"/>
  <c r="E9" i="3"/>
  <c r="D9" i="3"/>
  <c r="C9" i="3"/>
  <c r="B9" i="3"/>
  <c r="F7" i="3"/>
  <c r="F11" i="6" s="1"/>
  <c r="E7" i="3"/>
  <c r="E8" i="6" s="1"/>
  <c r="D7" i="3"/>
  <c r="D8" i="6" s="1"/>
  <c r="C7" i="3"/>
  <c r="C8" i="6" s="1"/>
  <c r="B7" i="3"/>
  <c r="B11" i="6" s="1"/>
  <c r="F5" i="3"/>
  <c r="E5" i="3"/>
  <c r="D5" i="3"/>
  <c r="C5" i="3"/>
  <c r="B5" i="3"/>
  <c r="F4" i="3"/>
  <c r="E4" i="3"/>
  <c r="D4" i="3"/>
  <c r="C4" i="3"/>
  <c r="B4" i="3"/>
  <c r="B10" i="6" s="1"/>
  <c r="F10" i="6" l="1"/>
  <c r="G11" i="13"/>
  <c r="C10" i="6"/>
  <c r="D11" i="13"/>
  <c r="D9" i="6"/>
  <c r="E11" i="13"/>
  <c r="E10" i="6"/>
  <c r="F11" i="13"/>
  <c r="E9" i="6"/>
  <c r="C11" i="6"/>
  <c r="B8" i="6"/>
  <c r="F8" i="6"/>
  <c r="D10" i="6"/>
  <c r="B9" i="6"/>
  <c r="F9" i="6"/>
  <c r="D11" i="6"/>
  <c r="C9" i="6"/>
  <c r="E11" i="6"/>
  <c r="D6" i="3"/>
  <c r="D8" i="3" s="1"/>
  <c r="E6" i="3"/>
  <c r="E8" i="3" s="1"/>
  <c r="C6" i="3"/>
  <c r="C8" i="3" s="1"/>
  <c r="B6" i="3"/>
  <c r="B8" i="3" s="1"/>
  <c r="F6" i="3"/>
  <c r="F8" i="3" s="1"/>
  <c r="F10" i="3" s="1"/>
  <c r="B10" i="3" l="1"/>
  <c r="D14" i="13"/>
  <c r="F12" i="3"/>
  <c r="G15" i="13"/>
  <c r="C10" i="3"/>
  <c r="E14" i="13"/>
  <c r="E10" i="3"/>
  <c r="M15" i="3" s="1"/>
  <c r="G14" i="13"/>
  <c r="D10" i="3"/>
  <c r="M12" i="3" s="1"/>
  <c r="F14" i="13"/>
  <c r="G17" i="2"/>
  <c r="G15" i="2"/>
  <c r="F15" i="2"/>
  <c r="E15" i="2"/>
  <c r="C15" i="2"/>
  <c r="G14" i="2"/>
  <c r="F14" i="2"/>
  <c r="E14" i="2"/>
  <c r="D14" i="2"/>
  <c r="G12" i="2"/>
  <c r="F12" i="2"/>
  <c r="G11" i="2"/>
  <c r="F11" i="2"/>
  <c r="E11" i="2"/>
  <c r="D11" i="2"/>
  <c r="N17" i="3"/>
  <c r="N15" i="3"/>
  <c r="K15" i="3"/>
  <c r="J15" i="3"/>
  <c r="N14" i="3"/>
  <c r="M14" i="3"/>
  <c r="L14" i="3"/>
  <c r="K14" i="3"/>
  <c r="K12" i="3"/>
  <c r="N11" i="3"/>
  <c r="M11" i="3"/>
  <c r="L11" i="3"/>
  <c r="K11" i="3"/>
  <c r="L15" i="3" l="1"/>
  <c r="G12" i="13"/>
  <c r="F14" i="3"/>
  <c r="F16" i="3" s="1"/>
  <c r="G17" i="13"/>
  <c r="L12" i="3"/>
  <c r="C12" i="3"/>
  <c r="D15" i="13"/>
  <c r="D12" i="13"/>
  <c r="J16" i="13"/>
  <c r="D12" i="3"/>
  <c r="E15" i="13"/>
  <c r="E12" i="13"/>
  <c r="E12" i="3"/>
  <c r="F15" i="13"/>
  <c r="F12" i="13"/>
  <c r="N12" i="3"/>
  <c r="D12" i="2"/>
  <c r="E12" i="2"/>
  <c r="D15" i="2"/>
  <c r="B12" i="3"/>
  <c r="C15" i="13"/>
  <c r="J16" i="2"/>
  <c r="M10" i="2"/>
  <c r="M10" i="13" l="1"/>
  <c r="B14" i="3"/>
  <c r="B16" i="3" s="1"/>
  <c r="C17" i="13"/>
  <c r="C17" i="2"/>
  <c r="J17" i="3"/>
  <c r="D14" i="3"/>
  <c r="D16" i="3" s="1"/>
  <c r="E17" i="13"/>
  <c r="E17" i="2"/>
  <c r="L17" i="3"/>
  <c r="C14" i="3"/>
  <c r="C16" i="3" s="1"/>
  <c r="D17" i="13"/>
  <c r="D17" i="2"/>
  <c r="K17" i="3"/>
  <c r="F18" i="3"/>
  <c r="N18" i="3"/>
  <c r="E14" i="3"/>
  <c r="E16" i="3" s="1"/>
  <c r="F17" i="13"/>
  <c r="F17" i="2"/>
  <c r="M17" i="3"/>
  <c r="C18" i="3" l="1"/>
  <c r="D13" i="13"/>
  <c r="K18" i="3"/>
  <c r="D13" i="2"/>
  <c r="K13" i="3"/>
  <c r="D18" i="3"/>
  <c r="E13" i="13"/>
  <c r="L18" i="3"/>
  <c r="L13" i="3"/>
  <c r="E13" i="2"/>
  <c r="B18" i="3"/>
  <c r="J18" i="3"/>
  <c r="A9" i="9" s="1"/>
  <c r="E18" i="3"/>
  <c r="F13" i="13"/>
  <c r="M18" i="3"/>
  <c r="F13" i="2"/>
  <c r="M13" i="3"/>
  <c r="G13" i="2"/>
  <c r="N13" i="3"/>
  <c r="J9" i="9"/>
  <c r="M16" i="2"/>
  <c r="G13" i="13"/>
  <c r="M16" i="13"/>
  <c r="F20" i="3"/>
  <c r="G16" i="13"/>
  <c r="G16" i="2"/>
  <c r="N16" i="3"/>
  <c r="B20" i="3" l="1"/>
  <c r="C16" i="13"/>
  <c r="J16" i="3"/>
  <c r="C16" i="2"/>
  <c r="D20" i="3"/>
  <c r="E16" i="13"/>
  <c r="L16" i="3"/>
  <c r="E16" i="2"/>
  <c r="E20" i="3"/>
  <c r="F16" i="13"/>
  <c r="M16" i="3"/>
  <c r="F16" i="2"/>
  <c r="C20" i="3"/>
  <c r="D16" i="13"/>
  <c r="K16" i="3"/>
  <c r="D16" i="2"/>
  <c r="J10" i="2" l="1"/>
  <c r="J10" i="13"/>
</calcChain>
</file>

<file path=xl/sharedStrings.xml><?xml version="1.0" encoding="utf-8"?>
<sst xmlns="http://schemas.openxmlformats.org/spreadsheetml/2006/main" count="404" uniqueCount="198">
  <si>
    <t>Consolidated Profit &amp; Loss account</t>
  </si>
  <si>
    <t>------------------- in Rs. Cr. -------------------</t>
  </si>
  <si>
    <t>Mar 25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</si>
  <si>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</si>
  <si>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</si>
  <si>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</si>
  <si>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</si>
  <si>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</si>
  <si>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</si>
  <si>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</si>
  <si>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</si>
  <si>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</si>
  <si>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</si>
  <si>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</si>
  <si>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</si>
  <si>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</si>
  <si>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</si>
  <si>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</si>
  <si>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</si>
  <si>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</si>
  <si>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</si>
  <si>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</si>
  <si>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</si>
  <si>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</si>
  <si>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</si>
  <si>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</si>
  <si>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</si>
  <si>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</si>
  <si>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Profit/Loss For The Period</t>
  </si>
  <si>
    <t>Minority Interest</t>
  </si>
  <si>
    <t>Share Of Profit/Loss Of Associates</t>
  </si>
  <si>
    <t>Consolidated Profit/Loss After MI And Associates</t>
  </si>
  <si>
    <t>OTHER ADDITIONAL INFORMATION</t>
  </si>
  <si>
    <t>EARNINGS PER SHARE</t>
  </si>
  <si>
    <t>Basic EPS (Rs.)</t>
  </si>
  <si>
    <t>Diluted EPS (Rs.)</t>
  </si>
  <si>
    <t>DIVIDEND AND DIVIDEND PERCENTAGE</t>
  </si>
  <si>
    <t>Equity Share Dividend</t>
  </si>
  <si>
    <t>Britannia Industries Ltd.</t>
  </si>
  <si>
    <t>Analyst</t>
  </si>
  <si>
    <t>Revenue from operations</t>
  </si>
  <si>
    <t>Total Income</t>
  </si>
  <si>
    <t>Cost Of Goods Sold</t>
  </si>
  <si>
    <t>Cost of raw materials consumed</t>
  </si>
  <si>
    <t>Gross Profit</t>
  </si>
  <si>
    <t>SGA</t>
  </si>
  <si>
    <t>EBITDA</t>
  </si>
  <si>
    <t>Depreciation and amortisation</t>
  </si>
  <si>
    <t>EBIT</t>
  </si>
  <si>
    <t>Interest</t>
  </si>
  <si>
    <t>EBT</t>
  </si>
  <si>
    <t>Tax</t>
  </si>
  <si>
    <t>Profit after Tax</t>
  </si>
  <si>
    <t>Share of Associates</t>
  </si>
  <si>
    <t>Profit before Extraordinary items</t>
  </si>
  <si>
    <t>Extraordinary item</t>
  </si>
  <si>
    <t>Profit after extraordinary items</t>
  </si>
  <si>
    <t>Analysis</t>
  </si>
  <si>
    <t>Particular</t>
  </si>
  <si>
    <t>Revenue Yoy Growth</t>
  </si>
  <si>
    <t>EBITDA Yoy Growth</t>
  </si>
  <si>
    <t>PAT yoy Growth</t>
  </si>
  <si>
    <t>Gross Profit Margin</t>
  </si>
  <si>
    <t>EBITDAM YOY Growth</t>
  </si>
  <si>
    <t>NPM</t>
  </si>
  <si>
    <t>Interest Coverage Ratio</t>
  </si>
  <si>
    <t>Reserves to NCL</t>
  </si>
  <si>
    <t>Debt to Equity</t>
  </si>
  <si>
    <t>Current Ratio</t>
  </si>
  <si>
    <t>Quick Ratio</t>
  </si>
  <si>
    <t>Days Receivables</t>
  </si>
  <si>
    <t>Days Payables</t>
  </si>
  <si>
    <t>Inventory Turnover Ratio</t>
  </si>
  <si>
    <t>Debtor Turnover Ratio</t>
  </si>
  <si>
    <t>Creditor Turnover Ratio</t>
  </si>
  <si>
    <t>Britannia Industries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</si>
  <si>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</si>
  <si>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</si>
  <si>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</si>
  <si>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</si>
  <si>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</si>
  <si>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</si>
  <si>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Employees Stock Options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</si>
  <si>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</si>
  <si>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</si>
  <si>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</si>
  <si>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</si>
  <si>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</si>
  <si>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</si>
  <si>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</si>
  <si>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</si>
  <si>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</si>
  <si>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</si>
  <si>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</si>
  <si>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</si>
  <si>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</si>
  <si>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</si>
  <si>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</si>
  <si>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</si>
  <si>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</si>
  <si>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</si>
  <si>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</si>
  <si>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</si>
  <si>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</si>
  <si>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</si>
  <si>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</si>
  <si>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</si>
  <si>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</si>
  <si>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</si>
  <si>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</si>
  <si>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</si>
  <si>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</si>
  <si>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</si>
  <si>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</si>
  <si>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</si>
  <si>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</si>
  <si>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</si>
  <si>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</si>
  <si>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</si>
  <si>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</si>
  <si>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</si>
  <si>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</si>
  <si>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Unquoted Book Value</t>
  </si>
  <si>
    <t>CURRENT INVESTMENTS</t>
  </si>
  <si>
    <t>Current Investments Unquoted Book Value</t>
  </si>
  <si>
    <t>PAT YOY Growth</t>
  </si>
  <si>
    <t>EBITDA YOY Growth</t>
  </si>
  <si>
    <t>Revenue YOY Growth</t>
  </si>
  <si>
    <t>Particulars</t>
  </si>
  <si>
    <t>Ratios</t>
  </si>
  <si>
    <t>Sum of Revenue Yoy Growth</t>
  </si>
  <si>
    <t>Grand Total</t>
  </si>
  <si>
    <t>Row Labels</t>
  </si>
  <si>
    <t>Revenue Growth</t>
  </si>
  <si>
    <t>Year</t>
  </si>
  <si>
    <t>Sum of EBITDA Yoy Growth</t>
  </si>
  <si>
    <t xml:space="preserve">EBITDA Pivot </t>
  </si>
  <si>
    <t>Sum of PAT yoy Growth</t>
  </si>
  <si>
    <t>PAT YOY GROWTH</t>
  </si>
  <si>
    <t>Gross Profit YOY Growth</t>
  </si>
  <si>
    <t>Sum of Gross Profit Margin</t>
  </si>
  <si>
    <t>EBITDAM YOY GROWTH</t>
  </si>
  <si>
    <t>Sum of EBITDAM YOY Growth</t>
  </si>
  <si>
    <t>NPM YOY GROWTH</t>
  </si>
  <si>
    <t>Sum of NPM</t>
  </si>
  <si>
    <t>INTEREST COVERAGE RATIO</t>
  </si>
  <si>
    <t>Sum of Interest Coverage Ratio</t>
  </si>
  <si>
    <t>WORKING SHEET</t>
  </si>
  <si>
    <t>BRITANNIA INDUSTRIES LTD.</t>
  </si>
  <si>
    <t>Cash Flow of Britannia Industries (in Rs. Cr.)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</si>
  <si>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</si>
  <si>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</si>
  <si>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</si>
  <si>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</si>
  <si>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</si>
  <si>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</si>
  <si>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</si>
  <si>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</si>
  <si>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</si>
  <si>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Net Cash Flow</t>
  </si>
  <si>
    <t>Cash from Operating Activity </t>
  </si>
  <si>
    <t>Cash from Investing Activity </t>
  </si>
  <si>
    <t>Cash from Financing Activity </t>
  </si>
  <si>
    <t>Trend</t>
  </si>
  <si>
    <t>Cash Flow Statement</t>
  </si>
  <si>
    <t>Analysis of Cash flow statement</t>
  </si>
  <si>
    <t>CFO YOY Growth</t>
  </si>
  <si>
    <t>CFI YOY Growth</t>
  </si>
  <si>
    <t>CFF YOY Growth</t>
  </si>
  <si>
    <t>Net Cash Flow Growth</t>
  </si>
  <si>
    <t>Average CFO</t>
  </si>
  <si>
    <t>Average CFI</t>
  </si>
  <si>
    <t>Average CFF</t>
  </si>
  <si>
    <t>Average NPM Growth</t>
  </si>
  <si>
    <t>Average EBITDAM Growth</t>
  </si>
  <si>
    <t>Average GPM Growth</t>
  </si>
  <si>
    <t>Average ICR</t>
  </si>
  <si>
    <t>Britannia Industries Ltd. Dashboard</t>
  </si>
  <si>
    <t>Average Revenue Growth</t>
  </si>
  <si>
    <t>Average EBITDA Growth</t>
  </si>
  <si>
    <t>Average PAT Growth</t>
  </si>
  <si>
    <t>Average PATM Growth</t>
  </si>
  <si>
    <t>PATM YOY Growth</t>
  </si>
  <si>
    <t>Sum of Current Ratio</t>
  </si>
  <si>
    <t>Sum of Quick Ratio</t>
  </si>
  <si>
    <t>RESERVES YOY GROWTH</t>
  </si>
  <si>
    <t>Reserves YOY Growth</t>
  </si>
  <si>
    <t>Sum of Debt to Equity</t>
  </si>
  <si>
    <t>Debt YOY Growth</t>
  </si>
  <si>
    <t>Debt  YOY Growth</t>
  </si>
  <si>
    <t>Sum of Reserves YOY Growth</t>
  </si>
  <si>
    <t>Sum of Debt  YOY Growth</t>
  </si>
  <si>
    <t>Sum of Days Receivables</t>
  </si>
  <si>
    <t>Sum of Days Payables</t>
  </si>
  <si>
    <t>Britannia Industries Ltd. Balance Sheet</t>
  </si>
  <si>
    <t>Cash Flow Statement of Britannia Industries Ltd.</t>
  </si>
  <si>
    <t>EBITDA YoY Growth</t>
  </si>
  <si>
    <t>Revenue 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</si>
</sst>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25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8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45"/>
      <color theme="1"/>
      <name val="Times New Roman"/>
      <family val="1"/>
    </font>
    <font>
      <sz val="45"/>
      <color theme="1"/>
      <name val="Algerian"/>
      <family val="5"/>
    </font>
    <font>
      <sz val="12"/>
      <color theme="1"/>
      <name val="Calibri"/>
      <family val="2"/>
      <scheme val="minor"/>
    </font>
    <font>
      <b/>
      <sz val="18"/>
      <color rgb="FF333333"/>
      <name val="Arial"/>
      <family val="2"/>
    </font>
    <font>
      <sz val="18"/>
      <color rgb="FF333333"/>
      <name val="Arial"/>
      <family val="2"/>
    </font>
    <font>
      <b/>
      <sz val="20"/>
      <color rgb="FF333333"/>
      <name val="Algerian"/>
      <family val="5"/>
    </font>
    <font>
      <sz val="11"/>
      <color theme="1"/>
      <name val="Arial"/>
      <family val="2"/>
    </font>
    <font>
      <b/>
      <sz val="7"/>
      <color rgb="FF000000"/>
      <name val="Tahom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8"/>
      <color theme="1"/>
      <name val="Baskerville Old Face"/>
      <family val="1"/>
    </font>
    <font>
      <sz val="30"/>
      <color theme="1"/>
      <name val="Baskerville Old Face"/>
      <family val="1"/>
    </font>
    <font>
      <sz val="13"/>
      <color rgb="FF22222F"/>
      <name val="Arial"/>
      <family val="2"/>
    </font>
    <font>
      <sz val="13"/>
      <color rgb="FF22222F"/>
      <name val="Arial"/>
      <family val="2"/>
    </font>
    <font>
      <u/>
      <sz val="45"/>
      <color theme="1"/>
      <name val="Algerian"/>
      <family val="5"/>
    </font>
    <font>
      <u/>
      <sz val="36"/>
      <color theme="1"/>
      <name val="Algerian"/>
      <family val="5"/>
    </font>
    <font>
      <sz val="13"/>
      <color theme="5" tint="-0.499984740745262"/>
      <name val="Arial"/>
      <family val="2"/>
    </font>
    <font>
      <b/>
      <u/>
      <sz val="1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1D1D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1">
    <xf numFmtId="0" fontId="0" fillId="0" borderId="0" xfId="0"/>
    <xf numFmtId="0" fontId="3" fillId="0" borderId="0" xfId="0" applyFont="1"/>
    <xf numFmtId="0" fontId="3" fillId="2" borderId="0" xfId="0" applyFont="1" applyFill="1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2" xfId="0" applyBorder="1"/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right" vertical="center" wrapText="1"/>
    </xf>
    <xf numFmtId="17" fontId="6" fillId="2" borderId="2" xfId="0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4" fontId="8" fillId="2" borderId="2" xfId="0" applyNumberFormat="1" applyFont="1" applyFill="1" applyBorder="1" applyAlignment="1">
      <alignment horizontal="right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/>
    <xf numFmtId="10" fontId="0" fillId="0" borderId="2" xfId="0" applyNumberFormat="1" applyBorder="1"/>
    <xf numFmtId="2" fontId="0" fillId="0" borderId="2" xfId="0" applyNumberFormat="1" applyBorder="1"/>
    <xf numFmtId="17" fontId="2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4" fontId="0" fillId="0" borderId="2" xfId="0" applyNumberFormat="1" applyBorder="1"/>
    <xf numFmtId="0" fontId="1" fillId="6" borderId="2" xfId="0" applyFont="1" applyFill="1" applyBorder="1"/>
    <xf numFmtId="4" fontId="1" fillId="6" borderId="2" xfId="0" applyNumberFormat="1" applyFont="1" applyFill="1" applyBorder="1"/>
    <xf numFmtId="0" fontId="16" fillId="0" borderId="0" xfId="0" applyFont="1"/>
    <xf numFmtId="17" fontId="17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right" vertical="center"/>
    </xf>
    <xf numFmtId="2" fontId="18" fillId="0" borderId="0" xfId="0" applyNumberFormat="1" applyFont="1"/>
    <xf numFmtId="17" fontId="0" fillId="0" borderId="0" xfId="0" applyNumberFormat="1"/>
    <xf numFmtId="17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pivotButton="1"/>
    <xf numFmtId="17" fontId="0" fillId="0" borderId="0" xfId="0" applyNumberFormat="1" applyAlignment="1">
      <alignment horizontal="left"/>
    </xf>
    <xf numFmtId="10" fontId="0" fillId="0" borderId="2" xfId="1" applyNumberFormat="1" applyFont="1" applyBorder="1"/>
    <xf numFmtId="0" fontId="25" fillId="2" borderId="12" xfId="0" applyFont="1" applyFill="1" applyBorder="1"/>
    <xf numFmtId="0" fontId="26" fillId="7" borderId="2" xfId="0" applyFont="1" applyFill="1" applyBorder="1" applyAlignment="1">
      <alignment horizontal="left" vertical="top" wrapText="1"/>
    </xf>
    <xf numFmtId="17" fontId="26" fillId="7" borderId="2" xfId="0" applyNumberFormat="1" applyFont="1" applyFill="1" applyBorder="1" applyAlignment="1">
      <alignment horizontal="right" vertical="top" wrapText="1"/>
    </xf>
    <xf numFmtId="4" fontId="26" fillId="7" borderId="2" xfId="0" applyNumberFormat="1" applyFont="1" applyFill="1" applyBorder="1" applyAlignment="1">
      <alignment horizontal="right" vertical="top" wrapText="1"/>
    </xf>
    <xf numFmtId="0" fontId="27" fillId="2" borderId="2" xfId="0" applyFont="1" applyFill="1" applyBorder="1" applyAlignment="1">
      <alignment horizontal="left" vertical="top" wrapText="1"/>
    </xf>
    <xf numFmtId="4" fontId="27" fillId="2" borderId="2" xfId="0" applyNumberFormat="1" applyFont="1" applyFill="1" applyBorder="1" applyAlignment="1">
      <alignment horizontal="right" vertical="top" wrapText="1"/>
    </xf>
    <xf numFmtId="0" fontId="27" fillId="2" borderId="2" xfId="0" applyFont="1" applyFill="1" applyBorder="1" applyAlignment="1">
      <alignment horizontal="right" vertical="top" wrapText="1"/>
    </xf>
    <xf numFmtId="0" fontId="26" fillId="7" borderId="2" xfId="0" applyFont="1" applyFill="1" applyBorder="1" applyAlignment="1">
      <alignment horizontal="right" vertical="top" wrapText="1"/>
    </xf>
    <xf numFmtId="0" fontId="28" fillId="6" borderId="2" xfId="0" applyFont="1" applyFill="1" applyBorder="1" applyAlignment="1">
      <alignment horizontal="left" vertical="top" wrapText="1"/>
    </xf>
    <xf numFmtId="0" fontId="25" fillId="2" borderId="0" xfId="0" applyFont="1" applyFill="1"/>
    <xf numFmtId="17" fontId="1" fillId="8" borderId="2" xfId="0" applyNumberFormat="1" applyFont="1" applyFill="1" applyBorder="1"/>
    <xf numFmtId="0" fontId="1" fillId="8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7" fontId="1" fillId="8" borderId="2" xfId="0" applyNumberFormat="1" applyFont="1" applyFill="1" applyBorder="1" applyAlignment="1">
      <alignment horizontal="center"/>
    </xf>
    <xf numFmtId="9" fontId="0" fillId="0" borderId="2" xfId="1" applyFont="1" applyBorder="1"/>
    <xf numFmtId="0" fontId="1" fillId="0" borderId="13" xfId="0" applyFont="1" applyBorder="1"/>
    <xf numFmtId="0" fontId="0" fillId="0" borderId="2" xfId="1" applyNumberFormat="1" applyFont="1" applyFill="1" applyBorder="1"/>
    <xf numFmtId="0" fontId="1" fillId="0" borderId="14" xfId="0" applyFont="1" applyBorder="1"/>
    <xf numFmtId="10" fontId="0" fillId="0" borderId="5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 vertical="center"/>
    </xf>
    <xf numFmtId="0" fontId="31" fillId="2" borderId="2" xfId="0" applyFont="1" applyFill="1" applyBorder="1" applyAlignment="1">
      <alignment horizontal="right" vertical="center" wrapText="1"/>
    </xf>
    <xf numFmtId="0" fontId="32" fillId="2" borderId="2" xfId="0" applyFont="1" applyFill="1" applyBorder="1" applyAlignment="1">
      <alignment horizontal="right" vertical="center" wrapText="1"/>
    </xf>
    <xf numFmtId="4" fontId="32" fillId="2" borderId="2" xfId="0" applyNumberFormat="1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/>
    </xf>
    <xf numFmtId="4" fontId="12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4" fontId="13" fillId="2" borderId="2" xfId="0" applyNumberFormat="1" applyFont="1" applyFill="1" applyBorder="1" applyAlignment="1">
      <alignment horizontal="right" vertical="center"/>
    </xf>
    <xf numFmtId="0" fontId="35" fillId="2" borderId="2" xfId="0" applyFont="1" applyFill="1" applyBorder="1" applyAlignment="1">
      <alignment horizontal="right" vertical="center" wrapText="1"/>
    </xf>
    <xf numFmtId="3" fontId="35" fillId="2" borderId="2" xfId="0" applyNumberFormat="1" applyFont="1" applyFill="1" applyBorder="1" applyAlignment="1">
      <alignment horizontal="right" vertical="center" wrapText="1"/>
    </xf>
    <xf numFmtId="0" fontId="0" fillId="10" borderId="2" xfId="0" applyFill="1" applyBorder="1"/>
    <xf numFmtId="0" fontId="1" fillId="0" borderId="26" xfId="0" applyFont="1" applyBorder="1"/>
    <xf numFmtId="0" fontId="0" fillId="0" borderId="27" xfId="0" applyBorder="1"/>
    <xf numFmtId="0" fontId="1" fillId="0" borderId="28" xfId="0" applyFont="1" applyBorder="1"/>
    <xf numFmtId="2" fontId="0" fillId="0" borderId="29" xfId="0" applyNumberFormat="1" applyBorder="1"/>
    <xf numFmtId="0" fontId="0" fillId="0" borderId="30" xfId="0" applyBorder="1"/>
    <xf numFmtId="0" fontId="1" fillId="0" borderId="34" xfId="0" applyFont="1" applyBorder="1"/>
    <xf numFmtId="0" fontId="0" fillId="0" borderId="29" xfId="0" applyBorder="1"/>
    <xf numFmtId="0" fontId="0" fillId="0" borderId="35" xfId="0" applyBorder="1"/>
    <xf numFmtId="0" fontId="0" fillId="0" borderId="36" xfId="0" applyBorder="1"/>
    <xf numFmtId="0" fontId="1" fillId="0" borderId="15" xfId="0" applyFont="1" applyBorder="1" applyAlignment="1">
      <alignment horizontal="center" vertical="center"/>
    </xf>
    <xf numFmtId="2" fontId="0" fillId="0" borderId="35" xfId="0" applyNumberFormat="1" applyBorder="1"/>
    <xf numFmtId="0" fontId="1" fillId="0" borderId="40" xfId="0" applyFont="1" applyBorder="1"/>
    <xf numFmtId="0" fontId="0" fillId="10" borderId="35" xfId="0" applyFill="1" applyBorder="1"/>
    <xf numFmtId="10" fontId="0" fillId="0" borderId="35" xfId="0" applyNumberFormat="1" applyBorder="1"/>
    <xf numFmtId="17" fontId="1" fillId="11" borderId="41" xfId="0" applyNumberFormat="1" applyFont="1" applyFill="1" applyBorder="1"/>
    <xf numFmtId="17" fontId="1" fillId="11" borderId="41" xfId="0" applyNumberFormat="1" applyFont="1" applyFill="1" applyBorder="1" applyAlignment="1">
      <alignment horizontal="center"/>
    </xf>
    <xf numFmtId="0" fontId="1" fillId="11" borderId="42" xfId="0" applyFont="1" applyFill="1" applyBorder="1" applyAlignment="1">
      <alignment horizontal="center"/>
    </xf>
    <xf numFmtId="0" fontId="1" fillId="11" borderId="41" xfId="0" applyFont="1" applyFill="1" applyBorder="1" applyAlignment="1">
      <alignment horizontal="center"/>
    </xf>
    <xf numFmtId="17" fontId="1" fillId="11" borderId="40" xfId="0" applyNumberFormat="1" applyFont="1" applyFill="1" applyBorder="1"/>
    <xf numFmtId="10" fontId="0" fillId="0" borderId="35" xfId="1" applyNumberFormat="1" applyFont="1" applyBorder="1"/>
    <xf numFmtId="0" fontId="1" fillId="0" borderId="43" xfId="0" applyFont="1" applyBorder="1"/>
    <xf numFmtId="0" fontId="1" fillId="0" borderId="46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29" xfId="1" applyNumberFormat="1" applyFont="1" applyFill="1" applyBorder="1"/>
    <xf numFmtId="17" fontId="1" fillId="11" borderId="44" xfId="0" applyNumberFormat="1" applyFont="1" applyFill="1" applyBorder="1"/>
    <xf numFmtId="0" fontId="1" fillId="11" borderId="44" xfId="0" applyFont="1" applyFill="1" applyBorder="1" applyAlignment="1">
      <alignment horizontal="center"/>
    </xf>
    <xf numFmtId="0" fontId="1" fillId="11" borderId="45" xfId="0" applyFont="1" applyFill="1" applyBorder="1" applyAlignment="1">
      <alignment horizontal="center"/>
    </xf>
    <xf numFmtId="0" fontId="35" fillId="2" borderId="26" xfId="0" applyFont="1" applyFill="1" applyBorder="1" applyAlignment="1">
      <alignment horizontal="left" vertical="center" indent="2"/>
    </xf>
    <xf numFmtId="0" fontId="35" fillId="2" borderId="27" xfId="0" applyFont="1" applyFill="1" applyBorder="1" applyAlignment="1">
      <alignment horizontal="right" vertical="center" wrapText="1"/>
    </xf>
    <xf numFmtId="0" fontId="36" fillId="2" borderId="28" xfId="0" applyFont="1" applyFill="1" applyBorder="1" applyAlignment="1">
      <alignment horizontal="left" vertical="center" indent="2"/>
    </xf>
    <xf numFmtId="0" fontId="36" fillId="2" borderId="29" xfId="0" applyFont="1" applyFill="1" applyBorder="1" applyAlignment="1">
      <alignment horizontal="right" vertical="center" wrapText="1"/>
    </xf>
    <xf numFmtId="0" fontId="36" fillId="2" borderId="30" xfId="0" applyFont="1" applyFill="1" applyBorder="1" applyAlignment="1">
      <alignment horizontal="right" vertical="center" wrapText="1"/>
    </xf>
    <xf numFmtId="17" fontId="39" fillId="2" borderId="40" xfId="0" applyNumberFormat="1" applyFont="1" applyFill="1" applyBorder="1" applyAlignment="1">
      <alignment horizontal="center" vertical="center" wrapText="1"/>
    </xf>
    <xf numFmtId="17" fontId="39" fillId="2" borderId="41" xfId="0" applyNumberFormat="1" applyFont="1" applyFill="1" applyBorder="1" applyAlignment="1">
      <alignment horizontal="right" vertical="center" wrapText="1"/>
    </xf>
    <xf numFmtId="17" fontId="39" fillId="2" borderId="42" xfId="0" applyNumberFormat="1" applyFont="1" applyFill="1" applyBorder="1" applyAlignment="1">
      <alignment horizontal="right" vertical="center" wrapText="1"/>
    </xf>
    <xf numFmtId="0" fontId="31" fillId="13" borderId="2" xfId="0" applyFont="1" applyFill="1" applyBorder="1" applyAlignment="1">
      <alignment horizontal="right" vertical="center" wrapText="1"/>
    </xf>
    <xf numFmtId="4" fontId="31" fillId="13" borderId="2" xfId="0" applyNumberFormat="1" applyFont="1" applyFill="1" applyBorder="1" applyAlignment="1">
      <alignment horizontal="right" vertical="center" wrapText="1"/>
    </xf>
    <xf numFmtId="0" fontId="25" fillId="2" borderId="27" xfId="0" applyFont="1" applyFill="1" applyBorder="1"/>
    <xf numFmtId="0" fontId="32" fillId="2" borderId="26" xfId="0" applyFont="1" applyFill="1" applyBorder="1" applyAlignment="1">
      <alignment vertical="center" wrapText="1"/>
    </xf>
    <xf numFmtId="0" fontId="32" fillId="2" borderId="27" xfId="0" applyFont="1" applyFill="1" applyBorder="1" applyAlignment="1">
      <alignment horizontal="right" vertical="center" wrapText="1"/>
    </xf>
    <xf numFmtId="0" fontId="31" fillId="13" borderId="26" xfId="0" applyFont="1" applyFill="1" applyBorder="1" applyAlignment="1">
      <alignment vertical="center" wrapText="1"/>
    </xf>
    <xf numFmtId="0" fontId="31" fillId="13" borderId="27" xfId="0" applyFont="1" applyFill="1" applyBorder="1" applyAlignment="1">
      <alignment horizontal="right" vertical="center" wrapText="1"/>
    </xf>
    <xf numFmtId="4" fontId="32" fillId="2" borderId="27" xfId="0" applyNumberFormat="1" applyFont="1" applyFill="1" applyBorder="1" applyAlignment="1">
      <alignment horizontal="right" vertical="center" wrapText="1"/>
    </xf>
    <xf numFmtId="4" fontId="31" fillId="13" borderId="27" xfId="0" applyNumberFormat="1" applyFont="1" applyFill="1" applyBorder="1" applyAlignment="1">
      <alignment horizontal="right" vertical="center" wrapText="1"/>
    </xf>
    <xf numFmtId="0" fontId="32" fillId="2" borderId="28" xfId="0" applyFont="1" applyFill="1" applyBorder="1" applyAlignment="1">
      <alignment vertical="center" wrapText="1"/>
    </xf>
    <xf numFmtId="0" fontId="25" fillId="2" borderId="29" xfId="0" applyFont="1" applyFill="1" applyBorder="1"/>
    <xf numFmtId="0" fontId="32" fillId="2" borderId="30" xfId="0" applyFont="1" applyFill="1" applyBorder="1" applyAlignment="1">
      <alignment horizontal="right" vertical="center" wrapText="1"/>
    </xf>
    <xf numFmtId="0" fontId="31" fillId="2" borderId="40" xfId="0" applyFont="1" applyFill="1" applyBorder="1" applyAlignment="1">
      <alignment vertical="center" wrapText="1"/>
    </xf>
    <xf numFmtId="17" fontId="31" fillId="2" borderId="41" xfId="0" applyNumberFormat="1" applyFont="1" applyFill="1" applyBorder="1" applyAlignment="1">
      <alignment horizontal="right" vertical="center" wrapText="1"/>
    </xf>
    <xf numFmtId="0" fontId="31" fillId="2" borderId="42" xfId="0" applyFont="1" applyFill="1" applyBorder="1" applyAlignment="1">
      <alignment horizontal="right" vertical="center" wrapText="1"/>
    </xf>
    <xf numFmtId="0" fontId="12" fillId="12" borderId="40" xfId="0" applyFont="1" applyFill="1" applyBorder="1" applyAlignment="1">
      <alignment vertical="center"/>
    </xf>
    <xf numFmtId="0" fontId="12" fillId="2" borderId="35" xfId="0" applyFont="1" applyFill="1" applyBorder="1" applyAlignment="1">
      <alignment horizontal="right" vertical="center"/>
    </xf>
    <xf numFmtId="0" fontId="12" fillId="13" borderId="40" xfId="0" applyFont="1" applyFill="1" applyBorder="1" applyAlignment="1">
      <alignment vertical="center"/>
    </xf>
    <xf numFmtId="17" fontId="12" fillId="13" borderId="41" xfId="0" applyNumberFormat="1" applyFont="1" applyFill="1" applyBorder="1" applyAlignment="1">
      <alignment horizontal="right" vertical="center"/>
    </xf>
    <xf numFmtId="0" fontId="12" fillId="13" borderId="42" xfId="0" applyFont="1" applyFill="1" applyBorder="1" applyAlignment="1">
      <alignment horizontal="right" vertical="center"/>
    </xf>
    <xf numFmtId="0" fontId="12" fillId="2" borderId="31" xfId="0" applyFont="1" applyFill="1" applyBorder="1" applyAlignment="1">
      <alignment vertical="center"/>
    </xf>
    <xf numFmtId="0" fontId="12" fillId="2" borderId="32" xfId="0" applyFont="1" applyFill="1" applyBorder="1" applyAlignment="1">
      <alignment horizontal="right" vertical="center"/>
    </xf>
    <xf numFmtId="0" fontId="12" fillId="2" borderId="33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4" fontId="12" fillId="2" borderId="27" xfId="0" applyNumberFormat="1" applyFont="1" applyFill="1" applyBorder="1" applyAlignment="1">
      <alignment horizontal="right" vertical="center"/>
    </xf>
    <xf numFmtId="0" fontId="13" fillId="2" borderId="26" xfId="0" applyFont="1" applyFill="1" applyBorder="1" applyAlignment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2" fillId="2" borderId="27" xfId="0" applyFont="1" applyFill="1" applyBorder="1" applyAlignment="1">
      <alignment vertical="center"/>
    </xf>
    <xf numFmtId="4" fontId="13" fillId="2" borderId="27" xfId="0" applyNumberFormat="1" applyFont="1" applyFill="1" applyBorder="1" applyAlignment="1">
      <alignment horizontal="right" vertical="center"/>
    </xf>
    <xf numFmtId="0" fontId="12" fillId="2" borderId="27" xfId="0" applyFont="1" applyFill="1" applyBorder="1" applyAlignment="1">
      <alignment horizontal="right" vertical="center"/>
    </xf>
    <xf numFmtId="0" fontId="13" fillId="2" borderId="28" xfId="0" applyFont="1" applyFill="1" applyBorder="1" applyAlignment="1">
      <alignment vertical="center"/>
    </xf>
    <xf numFmtId="4" fontId="13" fillId="2" borderId="29" xfId="0" applyNumberFormat="1" applyFont="1" applyFill="1" applyBorder="1" applyAlignment="1">
      <alignment horizontal="right" vertical="center"/>
    </xf>
    <xf numFmtId="4" fontId="13" fillId="2" borderId="30" xfId="0" applyNumberFormat="1" applyFont="1" applyFill="1" applyBorder="1" applyAlignment="1">
      <alignment horizontal="right" vertical="center"/>
    </xf>
    <xf numFmtId="0" fontId="12" fillId="2" borderId="46" xfId="0" applyFont="1" applyFill="1" applyBorder="1" applyAlignment="1">
      <alignment vertical="center"/>
    </xf>
    <xf numFmtId="4" fontId="12" fillId="2" borderId="14" xfId="0" applyNumberFormat="1" applyFont="1" applyFill="1" applyBorder="1" applyAlignment="1">
      <alignment horizontal="right" vertical="center"/>
    </xf>
    <xf numFmtId="4" fontId="12" fillId="2" borderId="52" xfId="0" applyNumberFormat="1" applyFont="1" applyFill="1" applyBorder="1" applyAlignment="1">
      <alignment horizontal="right" vertical="center"/>
    </xf>
    <xf numFmtId="0" fontId="13" fillId="2" borderId="34" xfId="0" applyFont="1" applyFill="1" applyBorder="1" applyAlignment="1">
      <alignment vertical="center"/>
    </xf>
    <xf numFmtId="0" fontId="13" fillId="2" borderId="35" xfId="0" applyFont="1" applyFill="1" applyBorder="1" applyAlignment="1">
      <alignment horizontal="right" vertical="center"/>
    </xf>
    <xf numFmtId="0" fontId="13" fillId="2" borderId="36" xfId="0" applyFont="1" applyFill="1" applyBorder="1" applyAlignment="1">
      <alignment horizontal="right" vertical="center"/>
    </xf>
    <xf numFmtId="4" fontId="12" fillId="13" borderId="41" xfId="0" applyNumberFormat="1" applyFont="1" applyFill="1" applyBorder="1" applyAlignment="1">
      <alignment horizontal="right" vertical="center"/>
    </xf>
    <xf numFmtId="4" fontId="12" fillId="13" borderId="42" xfId="0" applyNumberFormat="1" applyFont="1" applyFill="1" applyBorder="1" applyAlignment="1">
      <alignment horizontal="right" vertical="center"/>
    </xf>
    <xf numFmtId="0" fontId="13" fillId="2" borderId="46" xfId="0" applyFont="1" applyFill="1" applyBorder="1" applyAlignment="1">
      <alignment vertical="center"/>
    </xf>
    <xf numFmtId="4" fontId="13" fillId="2" borderId="14" xfId="0" applyNumberFormat="1" applyFont="1" applyFill="1" applyBorder="1" applyAlignment="1">
      <alignment horizontal="right" vertical="center"/>
    </xf>
    <xf numFmtId="4" fontId="13" fillId="2" borderId="52" xfId="0" applyNumberFormat="1" applyFont="1" applyFill="1" applyBorder="1" applyAlignment="1">
      <alignment horizontal="right" vertical="center"/>
    </xf>
    <xf numFmtId="0" fontId="12" fillId="13" borderId="31" xfId="0" applyFont="1" applyFill="1" applyBorder="1" applyAlignment="1">
      <alignment vertical="center"/>
    </xf>
    <xf numFmtId="4" fontId="12" fillId="13" borderId="32" xfId="0" applyNumberFormat="1" applyFont="1" applyFill="1" applyBorder="1" applyAlignment="1">
      <alignment horizontal="right" vertical="center"/>
    </xf>
    <xf numFmtId="4" fontId="12" fillId="13" borderId="33" xfId="0" applyNumberFormat="1" applyFont="1" applyFill="1" applyBorder="1" applyAlignment="1">
      <alignment horizontal="right" vertical="center"/>
    </xf>
    <xf numFmtId="0" fontId="12" fillId="13" borderId="28" xfId="0" applyFont="1" applyFill="1" applyBorder="1" applyAlignment="1">
      <alignment vertical="center"/>
    </xf>
    <xf numFmtId="4" fontId="12" fillId="13" borderId="29" xfId="0" applyNumberFormat="1" applyFont="1" applyFill="1" applyBorder="1" applyAlignment="1">
      <alignment horizontal="right" vertical="center"/>
    </xf>
    <xf numFmtId="4" fontId="12" fillId="13" borderId="30" xfId="0" applyNumberFormat="1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52" xfId="0" applyFont="1" applyFill="1" applyBorder="1" applyAlignment="1">
      <alignment horizontal="right" vertical="center"/>
    </xf>
    <xf numFmtId="0" fontId="12" fillId="2" borderId="34" xfId="0" applyFont="1" applyFill="1" applyBorder="1" applyAlignment="1">
      <alignment vertical="center"/>
    </xf>
    <xf numFmtId="0" fontId="12" fillId="2" borderId="36" xfId="0" applyFont="1" applyFill="1" applyBorder="1" applyAlignment="1">
      <alignment vertical="center"/>
    </xf>
    <xf numFmtId="0" fontId="35" fillId="13" borderId="34" xfId="0" applyFont="1" applyFill="1" applyBorder="1" applyAlignment="1">
      <alignment horizontal="left" vertical="center" indent="2"/>
    </xf>
    <xf numFmtId="3" fontId="35" fillId="13" borderId="35" xfId="0" applyNumberFormat="1" applyFont="1" applyFill="1" applyBorder="1" applyAlignment="1">
      <alignment horizontal="right" vertical="center" wrapText="1"/>
    </xf>
    <xf numFmtId="3" fontId="35" fillId="13" borderId="36" xfId="0" applyNumberFormat="1" applyFont="1" applyFill="1" applyBorder="1" applyAlignment="1">
      <alignment horizontal="right" vertical="center" wrapText="1"/>
    </xf>
    <xf numFmtId="0" fontId="35" fillId="13" borderId="26" xfId="0" applyFont="1" applyFill="1" applyBorder="1" applyAlignment="1">
      <alignment horizontal="left" vertical="center" indent="2"/>
    </xf>
    <xf numFmtId="3" fontId="35" fillId="13" borderId="2" xfId="0" applyNumberFormat="1" applyFont="1" applyFill="1" applyBorder="1" applyAlignment="1">
      <alignment horizontal="right" vertical="center" wrapText="1"/>
    </xf>
    <xf numFmtId="3" fontId="35" fillId="13" borderId="27" xfId="0" applyNumberFormat="1" applyFont="1" applyFill="1" applyBorder="1" applyAlignment="1">
      <alignment horizontal="right" vertical="center" wrapText="1"/>
    </xf>
    <xf numFmtId="0" fontId="40" fillId="12" borderId="37" xfId="0" applyFont="1" applyFill="1" applyBorder="1" applyAlignment="1">
      <alignment horizontal="center" vertical="center" wrapText="1"/>
    </xf>
    <xf numFmtId="0" fontId="11" fillId="12" borderId="38" xfId="0" applyFont="1" applyFill="1" applyBorder="1" applyAlignment="1">
      <alignment horizontal="center" vertical="center" wrapText="1"/>
    </xf>
    <xf numFmtId="0" fontId="11" fillId="12" borderId="39" xfId="0" applyFont="1" applyFill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/>
    </xf>
    <xf numFmtId="0" fontId="12" fillId="12" borderId="4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3" fillId="13" borderId="16" xfId="0" applyFont="1" applyFill="1" applyBorder="1" applyAlignment="1">
      <alignment horizontal="center" vertical="center"/>
    </xf>
    <xf numFmtId="0" fontId="33" fillId="13" borderId="17" xfId="0" applyFont="1" applyFill="1" applyBorder="1" applyAlignment="1">
      <alignment horizontal="center" vertical="center"/>
    </xf>
    <xf numFmtId="0" fontId="33" fillId="13" borderId="18" xfId="0" applyFont="1" applyFill="1" applyBorder="1" applyAlignment="1">
      <alignment horizontal="center" vertical="center"/>
    </xf>
    <xf numFmtId="0" fontId="33" fillId="13" borderId="21" xfId="0" applyFont="1" applyFill="1" applyBorder="1" applyAlignment="1">
      <alignment horizontal="center" vertical="center"/>
    </xf>
    <xf numFmtId="0" fontId="33" fillId="13" borderId="22" xfId="0" applyFont="1" applyFill="1" applyBorder="1" applyAlignment="1">
      <alignment horizontal="center" vertical="center"/>
    </xf>
    <xf numFmtId="0" fontId="33" fillId="13" borderId="23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/>
    </xf>
    <xf numFmtId="0" fontId="1" fillId="11" borderId="39" xfId="0" applyFont="1" applyFill="1" applyBorder="1" applyAlignment="1">
      <alignment horizontal="center"/>
    </xf>
    <xf numFmtId="10" fontId="1" fillId="0" borderId="21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0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vertical="center" wrapText="1"/>
    </xf>
    <xf numFmtId="0" fontId="31" fillId="2" borderId="26" xfId="0" applyFont="1" applyFill="1" applyBorder="1" applyAlignment="1">
      <alignment vertical="center" wrapText="1"/>
    </xf>
    <xf numFmtId="0" fontId="31" fillId="2" borderId="2" xfId="0" applyFont="1" applyFill="1" applyBorder="1" applyAlignment="1">
      <alignment vertical="center" wrapText="1"/>
    </xf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32" fillId="2" borderId="0" xfId="0" applyFont="1" applyFill="1" applyAlignment="1">
      <alignment vertical="center" wrapText="1"/>
    </xf>
    <xf numFmtId="0" fontId="31" fillId="13" borderId="34" xfId="0" applyFont="1" applyFill="1" applyBorder="1" applyAlignment="1">
      <alignment vertical="center" wrapText="1"/>
    </xf>
    <xf numFmtId="0" fontId="31" fillId="13" borderId="35" xfId="0" applyFont="1" applyFill="1" applyBorder="1" applyAlignment="1">
      <alignment vertical="center" wrapText="1"/>
    </xf>
    <xf numFmtId="0" fontId="31" fillId="13" borderId="36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6" fillId="2" borderId="2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center" vertical="center"/>
    </xf>
    <xf numFmtId="0" fontId="34" fillId="12" borderId="38" xfId="0" applyFont="1" applyFill="1" applyBorder="1" applyAlignment="1">
      <alignment horizontal="center" vertical="center"/>
    </xf>
    <xf numFmtId="0" fontId="34" fillId="12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6" borderId="0" xfId="0" applyFont="1" applyFill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38" fillId="11" borderId="16" xfId="0" applyFont="1" applyFill="1" applyBorder="1" applyAlignment="1">
      <alignment horizontal="center" vertical="center"/>
    </xf>
    <xf numFmtId="0" fontId="37" fillId="11" borderId="17" xfId="0" applyFont="1" applyFill="1" applyBorder="1" applyAlignment="1">
      <alignment horizontal="center" vertical="center"/>
    </xf>
    <xf numFmtId="0" fontId="37" fillId="11" borderId="18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7" fillId="11" borderId="21" xfId="0" applyFont="1" applyFill="1" applyBorder="1" applyAlignment="1">
      <alignment horizontal="center" vertical="center"/>
    </xf>
    <xf numFmtId="0" fontId="37" fillId="11" borderId="22" xfId="0" applyFont="1" applyFill="1" applyBorder="1" applyAlignment="1">
      <alignment horizontal="center" vertical="center"/>
    </xf>
    <xf numFmtId="0" fontId="37" fillId="11" borderId="23" xfId="0" applyFont="1" applyFill="1" applyBorder="1" applyAlignment="1">
      <alignment horizontal="center" vertical="center"/>
    </xf>
    <xf numFmtId="0" fontId="9" fillId="11" borderId="37" xfId="0" applyFont="1" applyFill="1" applyBorder="1" applyAlignment="1">
      <alignment horizontal="center"/>
    </xf>
    <xf numFmtId="0" fontId="9" fillId="11" borderId="38" xfId="0" applyFont="1" applyFill="1" applyBorder="1" applyAlignment="1">
      <alignment horizontal="center"/>
    </xf>
    <xf numFmtId="0" fontId="9" fillId="11" borderId="39" xfId="0" applyFont="1" applyFill="1" applyBorder="1" applyAlignment="1">
      <alignment horizontal="center"/>
    </xf>
    <xf numFmtId="10" fontId="1" fillId="0" borderId="50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2" fontId="1" fillId="0" borderId="50" xfId="0" applyNumberFormat="1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Revenue,EBITDA,PAT(YOY)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'one pager (2)'!$R$17</c:f>
              <c:strCache>
                <c:ptCount val="1"/>
                <c:pt idx="0">
                  <c:v>Sum of Revenue Yoy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65000"/>
                    <a:shade val="51000"/>
                    <a:satMod val="130000"/>
                  </a:schemeClr>
                </a:gs>
                <a:gs pos="80000">
                  <a:schemeClr val="accent2">
                    <a:shade val="65000"/>
                    <a:shade val="93000"/>
                    <a:satMod val="130000"/>
                  </a:schemeClr>
                </a:gs>
                <a:gs pos="100000">
                  <a:schemeClr val="accent2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(2)'!$Q$18:$Q$23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(2)'!$R$18:$R$23</c:f>
              <c:numCache>
                <c:formatCode>General</c:formatCode>
                <c:ptCount val="5"/>
                <c:pt idx="1">
                  <c:v>7.6134998561221245E-2</c:v>
                </c:pt>
                <c:pt idx="2">
                  <c:v>0.15310202274151713</c:v>
                </c:pt>
                <c:pt idx="3">
                  <c:v>2.8754857964915368E-2</c:v>
                </c:pt>
                <c:pt idx="4">
                  <c:v>6.997323079657003E-2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E-4221-9018-0A668744C2B8}"/>
            </c:ext>
          </c:extLst>
        </c:ser>
        <c:ser>
          <c:idx val="1"/>
          <c:order val="1"/>
          <c:tx>
            <c:strRef>
              <c:f>'one pager (2)'!$S$17</c:f>
              <c:strCache>
                <c:ptCount val="1"/>
                <c:pt idx="0">
                  <c:v>Sum of EBITDA Yoy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(2)'!$Q$18:$Q$23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(2)'!$S$18:$S$23</c:f>
              <c:numCache>
                <c:formatCode>General</c:formatCode>
                <c:ptCount val="5"/>
                <c:pt idx="1">
                  <c:v>-0.14096295036425957</c:v>
                </c:pt>
                <c:pt idx="2">
                  <c:v>0.25674204113284327</c:v>
                </c:pt>
                <c:pt idx="3">
                  <c:v>0.11069099406913019</c:v>
                </c:pt>
                <c:pt idx="4">
                  <c:v>8.9302072682770125E-3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E-4221-9018-0A668744C2B8}"/>
            </c:ext>
          </c:extLst>
        </c:ser>
        <c:ser>
          <c:idx val="2"/>
          <c:order val="2"/>
          <c:tx>
            <c:strRef>
              <c:f>'one pager (2)'!$T$17</c:f>
              <c:strCache>
                <c:ptCount val="1"/>
                <c:pt idx="0">
                  <c:v>Sum of PAT yoy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5000"/>
                    <a:shade val="51000"/>
                    <a:satMod val="130000"/>
                  </a:schemeClr>
                </a:gs>
                <a:gs pos="80000">
                  <a:schemeClr val="accent2">
                    <a:tint val="65000"/>
                    <a:shade val="93000"/>
                    <a:satMod val="130000"/>
                  </a:schemeClr>
                </a:gs>
                <a:gs pos="100000">
                  <a:schemeClr val="accent2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(2)'!$Q$18:$Q$23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(2)'!$T$18:$T$23</c:f>
              <c:numCache>
                <c:formatCode>General</c:formatCode>
                <c:ptCount val="5"/>
                <c:pt idx="1">
                  <c:v>-0.18008636017271962</c:v>
                </c:pt>
                <c:pt idx="2">
                  <c:v>0.27561364655013132</c:v>
                </c:pt>
                <c:pt idx="3">
                  <c:v>0.10592618236871795</c:v>
                </c:pt>
                <c:pt idx="4">
                  <c:v>3.4144586531854919E-2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E-4221-9018-0A668744C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0400320"/>
        <c:axId val="530399536"/>
      </c:barChart>
      <c:catAx>
        <c:axId val="5304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99536"/>
        <c:crosses val="autoZero"/>
        <c:auto val="1"/>
        <c:lblAlgn val="ctr"/>
        <c:lblOffset val="100"/>
        <c:noMultiLvlLbl val="0"/>
      </c:catAx>
      <c:valAx>
        <c:axId val="5303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0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EBITDAM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'one pager (2)'!$U$27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(2)'!$T$28:$T$33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(2)'!$U$28:$U$33</c:f>
              <c:numCache>
                <c:formatCode>0.00%</c:formatCode>
                <c:ptCount val="5"/>
                <c:pt idx="0">
                  <c:v>0.2148393668155181</c:v>
                </c:pt>
                <c:pt idx="1">
                  <c:v>0.17149797754144314</c:v>
                </c:pt>
                <c:pt idx="2">
                  <c:v>0.1869120980580409</c:v>
                </c:pt>
                <c:pt idx="3">
                  <c:v>0.20179888569985469</c:v>
                </c:pt>
                <c:pt idx="4">
                  <c:v>0.19028606110461807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E-475E-9DA1-8A94E89E4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7890808"/>
        <c:axId val="447886496"/>
      </c:barChart>
      <c:catAx>
        <c:axId val="44789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86496"/>
        <c:crosses val="autoZero"/>
        <c:auto val="1"/>
        <c:lblAlgn val="ctr"/>
        <c:lblOffset val="100"/>
        <c:noMultiLvlLbl val="0"/>
      </c:catAx>
      <c:valAx>
        <c:axId val="4478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9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Quick and Current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'one pager (2)'!$W$27</c:f>
              <c:strCache>
                <c:ptCount val="1"/>
                <c:pt idx="0">
                  <c:v>Sum of Current Ratio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'one pager (2)'!$V$28:$V$33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(2)'!$W$28:$W$33</c:f>
              <c:numCache>
                <c:formatCode>General</c:formatCode>
                <c:ptCount val="5"/>
                <c:pt idx="0">
                  <c:v>1.0816469794873778</c:v>
                </c:pt>
                <c:pt idx="1">
                  <c:v>1.1871139283274696</c:v>
                </c:pt>
                <c:pt idx="2">
                  <c:v>1.147985197368421</c:v>
                </c:pt>
                <c:pt idx="3">
                  <c:v>0.95540855637878319</c:v>
                </c:pt>
                <c:pt idx="4">
                  <c:v>1.2228416803393216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F-48F3-9A58-F3BB0753928A}"/>
            </c:ext>
          </c:extLst>
        </c:ser>
        <c:ser>
          <c:idx val="1"/>
          <c:order val="1"/>
          <c:tx>
            <c:strRef>
              <c:f>'one pager (2)'!$X$27</c:f>
              <c:strCache>
                <c:ptCount val="1"/>
                <c:pt idx="0">
                  <c:v>Sum of Quick Ratio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'one pager (2)'!$V$28:$V$33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(2)'!$X$28:$X$33</c:f>
              <c:numCache>
                <c:formatCode>General</c:formatCode>
                <c:ptCount val="5"/>
                <c:pt idx="0">
                  <c:v>0.73990536887896385</c:v>
                </c:pt>
                <c:pt idx="1">
                  <c:v>0.89791181590486746</c:v>
                </c:pt>
                <c:pt idx="2">
                  <c:v>0.85936774380804948</c:v>
                </c:pt>
                <c:pt idx="3">
                  <c:v>0.62634723622564525</c:v>
                </c:pt>
                <c:pt idx="4">
                  <c:v>0.92084708668693827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6F-48F3-9A58-F3BB07539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544248"/>
        <c:axId val="530545032"/>
      </c:lineChart>
      <c:catAx>
        <c:axId val="53054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45032"/>
        <c:crosses val="autoZero"/>
        <c:auto val="1"/>
        <c:lblAlgn val="ctr"/>
        <c:lblOffset val="100"/>
        <c:noMultiLvlLbl val="0"/>
      </c:catAx>
      <c:valAx>
        <c:axId val="5305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4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Debt 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'one pager (2)'!$AC$23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(2)'!$AB$24:$AB$29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(2)'!$AC$24:$AC$29</c:f>
              <c:numCache>
                <c:formatCode>General</c:formatCode>
                <c:ptCount val="5"/>
                <c:pt idx="0">
                  <c:v>29.594852635948527</c:v>
                </c:pt>
                <c:pt idx="1">
                  <c:v>37.555832295558325</c:v>
                </c:pt>
                <c:pt idx="2">
                  <c:v>64.416770444167696</c:v>
                </c:pt>
                <c:pt idx="3">
                  <c:v>29.347862183478622</c:v>
                </c:pt>
                <c:pt idx="4">
                  <c:v>31.039850560398506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3-4CA7-BFE1-C571D518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5226968"/>
        <c:axId val="525226576"/>
      </c:barChart>
      <c:valAx>
        <c:axId val="52522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26968"/>
        <c:crosses val="autoZero"/>
        <c:crossBetween val="between"/>
      </c:valAx>
      <c:catAx>
        <c:axId val="52522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2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Reserves and Debt YOY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'one pager (2)'!$Z$20</c:f>
              <c:strCache>
                <c:ptCount val="1"/>
                <c:pt idx="0">
                  <c:v>Sum of Reserves YOY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(2)'!$Y$21:$Y$26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(2)'!$Z$21:$Z$26</c:f>
              <c:numCache>
                <c:formatCode>General</c:formatCode>
                <c:ptCount val="5"/>
                <c:pt idx="1">
                  <c:v>-0.28000000000000003</c:v>
                </c:pt>
                <c:pt idx="2">
                  <c:v>0.39</c:v>
                </c:pt>
                <c:pt idx="3">
                  <c:v>0.12</c:v>
                </c:pt>
                <c:pt idx="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1-4C79-892D-1144E03CF3F1}"/>
            </c:ext>
          </c:extLst>
        </c:ser>
        <c:ser>
          <c:idx val="1"/>
          <c:order val="1"/>
          <c:tx>
            <c:strRef>
              <c:f>'one pager (2)'!$AA$20</c:f>
              <c:strCache>
                <c:ptCount val="1"/>
                <c:pt idx="0">
                  <c:v>Sum of Debt  YOY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'one pager (2)'!$Y$21:$Y$26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(2)'!$AA$21:$AA$26</c:f>
              <c:numCache>
                <c:formatCode>General</c:formatCode>
                <c:ptCount val="5"/>
                <c:pt idx="1">
                  <c:v>-5.4510197258441979E-2</c:v>
                </c:pt>
                <c:pt idx="2">
                  <c:v>1.1949391080496188</c:v>
                </c:pt>
                <c:pt idx="3">
                  <c:v>-0.41698672509343981</c:v>
                </c:pt>
                <c:pt idx="4">
                  <c:v>-0.21197718631178702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1-4C79-892D-1144E03CF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2696256"/>
        <c:axId val="522697040"/>
      </c:barChart>
      <c:catAx>
        <c:axId val="52269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7040"/>
        <c:crosses val="autoZero"/>
        <c:auto val="1"/>
        <c:lblAlgn val="ctr"/>
        <c:lblOffset val="100"/>
        <c:noMultiLvlLbl val="0"/>
      </c:catAx>
      <c:valAx>
        <c:axId val="5226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[Tripathi ji FRA 2.xlsx]one pager (2)!PivotTable6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Days Receivables and Days Payables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'one pager (2)'!$AJ$31</c:f>
              <c:strCache>
                <c:ptCount val="1"/>
                <c:pt idx="0">
                  <c:v>Sum of Days Receivables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'one pager (2)'!$AI$32:$AI$37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(2)'!$AJ$32:$AJ$37</c:f>
              <c:numCache>
                <c:formatCode>General</c:formatCode>
                <c:ptCount val="5"/>
                <c:pt idx="0">
                  <c:v>12.709938803263826</c:v>
                </c:pt>
                <c:pt idx="1">
                  <c:v>10.295363748299529</c:v>
                </c:pt>
                <c:pt idx="2">
                  <c:v>7.5110322867205923</c:v>
                </c:pt>
                <c:pt idx="3">
                  <c:v>7.3221873770488832</c:v>
                </c:pt>
                <c:pt idx="4">
                  <c:v>5.3552006213850909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C-442E-B450-BD4E390103D4}"/>
            </c:ext>
          </c:extLst>
        </c:ser>
        <c:ser>
          <c:idx val="1"/>
          <c:order val="1"/>
          <c:tx>
            <c:strRef>
              <c:f>'one pager (2)'!$AK$31</c:f>
              <c:strCache>
                <c:ptCount val="1"/>
                <c:pt idx="0">
                  <c:v>Sum of Days Payables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'one pager (2)'!$AI$32:$AI$37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'one pager (2)'!$AK$32:$AK$37</c:f>
              <c:numCache>
                <c:formatCode>General</c:formatCode>
                <c:ptCount val="5"/>
                <c:pt idx="0">
                  <c:v>83.865140766577923</c:v>
                </c:pt>
                <c:pt idx="1">
                  <c:v>67.809344428843772</c:v>
                </c:pt>
                <c:pt idx="2">
                  <c:v>55.134929571590916</c:v>
                </c:pt>
                <c:pt idx="3">
                  <c:v>49.420966853244252</c:v>
                </c:pt>
                <c:pt idx="4">
                  <c:v>45.254761152578489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C-442E-B450-BD4E3901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428392"/>
        <c:axId val="520427216"/>
      </c:lineChart>
      <c:catAx>
        <c:axId val="52042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27216"/>
        <c:crosses val="autoZero"/>
        <c:auto val="1"/>
        <c:lblAlgn val="ctr"/>
        <c:lblOffset val="100"/>
        <c:noMultiLvlLbl val="0"/>
      </c:catAx>
      <c:valAx>
        <c:axId val="52042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2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SHEET'!$B$25:$B$26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 SHEET'!$A$27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'WORKIN SHEET'!$B$27</c:f>
              <c:numCache>
                <c:formatCode>0.00%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46B-446F-A786-13A652187AC6}"/>
            </c:ext>
          </c:extLst>
        </c:ser>
        <c:ser>
          <c:idx val="1"/>
          <c:order val="1"/>
          <c:tx>
            <c:strRef>
              <c:f>'WORKIN SHEET'!$C$25:$C$26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 SHEET'!$A$27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'WORKIN SHEET'!$C$27</c:f>
              <c:numCache>
                <c:formatCode>0.00%</c:formatCode>
                <c:ptCount val="1"/>
                <c:pt idx="0">
                  <c:v>7.6134998561221245E-2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B-446F-A786-13A652187AC6}"/>
            </c:ext>
          </c:extLst>
        </c:ser>
        <c:ser>
          <c:idx val="2"/>
          <c:order val="2"/>
          <c:tx>
            <c:strRef>
              <c:f>'WORKIN SHEET'!$D$25:$D$26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 SHEET'!$A$27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'WORKIN SHEET'!$D$27</c:f>
              <c:numCache>
                <c:formatCode>0.00%</c:formatCode>
                <c:ptCount val="1"/>
                <c:pt idx="0">
                  <c:v>0.15310202274151713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B-446F-A786-13A652187AC6}"/>
            </c:ext>
          </c:extLst>
        </c:ser>
        <c:ser>
          <c:idx val="3"/>
          <c:order val="3"/>
          <c:tx>
            <c:strRef>
              <c:f>'WORKIN SHEET'!$E$25:$E$26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 SHEET'!$A$27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'WORKIN SHEET'!$E$27</c:f>
              <c:numCache>
                <c:formatCode>0.00%</c:formatCode>
                <c:ptCount val="1"/>
                <c:pt idx="0">
                  <c:v>2.8754857964915368E-2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B-446F-A786-13A652187AC6}"/>
            </c:ext>
          </c:extLst>
        </c:ser>
        <c:ser>
          <c:idx val="4"/>
          <c:order val="4"/>
          <c:tx>
            <c:strRef>
              <c:f>'WORKIN SHEET'!$F$25:$F$26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 SHEET'!$A$27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'WORKIN SHEET'!$F$27</c:f>
              <c:numCache>
                <c:formatCode>0.00%</c:formatCode>
                <c:ptCount val="1"/>
                <c:pt idx="0">
                  <c:v>6.997323079657003E-2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B-446F-A786-13A652187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117632"/>
        <c:axId val="516110968"/>
      </c:barChart>
      <c:catAx>
        <c:axId val="5161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0968"/>
        <c:crosses val="autoZero"/>
        <c:auto val="1"/>
        <c:lblAlgn val="ctr"/>
        <c:lblOffset val="100"/>
        <c:noMultiLvlLbl val="0"/>
      </c:catAx>
      <c:valAx>
        <c:axId val="51611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SHEET'!$B$45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'WORKIN SHEET'!$A$46:$A$51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SHEET'!$B$46:$B$51</c:f>
              <c:numCache>
                <c:formatCode>General</c:formatCode>
                <c:ptCount val="5"/>
                <c:pt idx="1">
                  <c:v>-0.14096295036425957</c:v>
                </c:pt>
                <c:pt idx="2">
                  <c:v>0.25674204113284327</c:v>
                </c:pt>
                <c:pt idx="3">
                  <c:v>0.11069099406913019</c:v>
                </c:pt>
                <c:pt idx="4">
                  <c:v>8.9302072682770125E-3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1-4AAB-BA85-4BF9CF049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6117240"/>
        <c:axId val="516118024"/>
      </c:barChart>
      <c:catAx>
        <c:axId val="51611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8024"/>
        <c:crosses val="autoZero"/>
        <c:auto val="1"/>
        <c:lblAlgn val="ctr"/>
        <c:lblOffset val="100"/>
        <c:noMultiLvlLbl val="0"/>
      </c:catAx>
      <c:valAx>
        <c:axId val="51611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SHEET'!$B$60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'WORKIN SHEET'!$A$61:$A$66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SHEET'!$B$61:$B$66</c:f>
              <c:numCache>
                <c:formatCode>0.00%</c:formatCode>
                <c:ptCount val="5"/>
                <c:pt idx="1">
                  <c:v>-0.18008636017271962</c:v>
                </c:pt>
                <c:pt idx="2">
                  <c:v>0.27561364655013132</c:v>
                </c:pt>
                <c:pt idx="3">
                  <c:v>0.10592618236871795</c:v>
                </c:pt>
                <c:pt idx="4">
                  <c:v>3.4144586531854919E-2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C-4AD8-A554-FD861898E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16111752"/>
        <c:axId val="516112928"/>
      </c:barChart>
      <c:catAx>
        <c:axId val="51611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2928"/>
        <c:crosses val="autoZero"/>
        <c:auto val="1"/>
        <c:lblAlgn val="ctr"/>
        <c:lblOffset val="100"/>
        <c:noMultiLvlLbl val="0"/>
      </c:catAx>
      <c:valAx>
        <c:axId val="51611292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GROSS PROFIT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'WORKIN SHEET'!$K$26:$K$31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SHEET'!$L$26:$L$31</c:f>
              <c:numCache>
                <c:formatCode>General</c:formatCode>
                <c:ptCount val="5"/>
                <c:pt idx="1">
                  <c:v>0.44327405158593014</c:v>
                </c:pt>
                <c:pt idx="2">
                  <c:v>0.39605878782648318</c:v>
                </c:pt>
                <c:pt idx="3">
                  <c:v>0.42483903917352478</c:v>
                </c:pt>
                <c:pt idx="4">
                  <c:v>0.44673500993185761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8-4473-B18F-A0D40994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16114496"/>
        <c:axId val="516114888"/>
      </c:barChart>
      <c:catAx>
        <c:axId val="5161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4888"/>
        <c:crosses val="autoZero"/>
        <c:auto val="1"/>
        <c:lblAlgn val="ctr"/>
        <c:lblOffset val="100"/>
        <c:noMultiLvlLbl val="0"/>
      </c:catAx>
      <c:valAx>
        <c:axId val="51611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EBITDAM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SHEET'!$L$41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'WORKIN SHEET'!$K$42:$K$47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SHEET'!$L$42:$L$47</c:f>
              <c:numCache>
                <c:formatCode>0.00%</c:formatCode>
                <c:ptCount val="5"/>
                <c:pt idx="0">
                  <c:v>0.2148393668155181</c:v>
                </c:pt>
                <c:pt idx="1">
                  <c:v>0.17149797754144314</c:v>
                </c:pt>
                <c:pt idx="2">
                  <c:v>0.1869120980580409</c:v>
                </c:pt>
                <c:pt idx="3">
                  <c:v>0.20179888569985469</c:v>
                </c:pt>
                <c:pt idx="4">
                  <c:v>0.19028606110461807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A-48B1-8B36-E39244CC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17256312"/>
        <c:axId val="517253176"/>
      </c:barChart>
      <c:catAx>
        <c:axId val="51725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3176"/>
        <c:crosses val="autoZero"/>
        <c:auto val="1"/>
        <c:lblAlgn val="ctr"/>
        <c:lblOffset val="100"/>
        <c:noMultiLvlLbl val="0"/>
      </c:catAx>
      <c:valAx>
        <c:axId val="5172531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NPM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SHEET'!$L$59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'WORKIN SHEET'!$K$60:$K$65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SHEET'!$L$60:$L$65</c:f>
              <c:numCache>
                <c:formatCode>0.00%</c:formatCode>
                <c:ptCount val="5"/>
                <c:pt idx="0">
                  <c:v>0.14193743367534145</c:v>
                </c:pt>
                <c:pt idx="1">
                  <c:v>0.10793519643809617</c:v>
                </c:pt>
                <c:pt idx="2">
                  <c:v>0.11939290392041979</c:v>
                </c:pt>
                <c:pt idx="3">
                  <c:v>0.12777598547819924</c:v>
                </c:pt>
                <c:pt idx="4">
                  <c:v>0.12280892420135894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D-49F9-A301-D7FC2B6C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17251608"/>
        <c:axId val="517255136"/>
      </c:barChart>
      <c:catAx>
        <c:axId val="51725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5136"/>
        <c:crosses val="autoZero"/>
        <c:auto val="1"/>
        <c:lblAlgn val="ctr"/>
        <c:lblOffset val="100"/>
        <c:noMultiLvlLbl val="0"/>
      </c:catAx>
      <c:valAx>
        <c:axId val="51725513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[Tripathi ji FRA 2.xlsx]WORKIN SHEET!PivotTable7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COVERAGE RATIO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 SHEET'!$L$77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'WORKIN SHEET'!$K$78:$K$83</c:f>
              <c:strCache>
                <c:ptCount val="5"/>
                <c:pt idx="0">
                  <c:v>Mar-21</c:v>
                </c:pt>
                <c:pt idx="1">
                  <c:v>Mar-22</c:v>
                </c:pt>
                <c:pt idx="2">
                  <c:v>Mar-23</c:v>
                </c:pt>
                <c:pt idx="3">
                  <c:v>Mar-24</c:v>
                </c:pt>
                <c:pt idx="4">
                  <c:v>Mar-25</c:v>
                </c:pt>
              </c:strCache>
            </c:strRef>
          </c:cat>
          <c:val>
            <c:numRef>
              <c:f>'WORKIN SHEET'!$L$78:$L$83</c:f>
              <c:numCache>
                <c:formatCode>0.00</c:formatCode>
                <c:ptCount val="5"/>
                <c:pt idx="0">
                  <c:v>23.663751127141566</c:v>
                </c:pt>
                <c:pt idx="1">
                  <c:v>15.412017464827786</c:v>
                </c:pt>
                <c:pt idx="2">
                  <c:v>16.681608515671194</c:v>
                </c:pt>
                <c:pt idx="3">
                  <c:v>18.802195121951232</c:v>
                </c:pt>
                <c:pt idx="4">
                  <c:v>22.340778097982685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C-48AE-897B-CF2CB9850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7256704"/>
        <c:axId val="517252392"/>
      </c:barChart>
      <c:catAx>
        <c:axId val="5172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2392"/>
        <c:crosses val="autoZero"/>
        <c:auto val="1"/>
        <c:lblAlgn val="ctr"/>
        <c:lblOffset val="100"/>
        <c:noMultiLvlLbl val="0"/>
      </c:catAx>
      <c:valAx>
        <c:axId val="5172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gif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 descr="https://images.moneycontrol.com/images/blank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3" name="Picture 2" descr="https://images.moneycontrol.com/images/blank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33131</xdr:colOff>
      <xdr:row>0</xdr:row>
      <xdr:rowOff>0</xdr:rowOff>
    </xdr:from>
    <xdr:to>
      <xdr:col>0</xdr:col>
      <xdr:colOff>2358887</xdr:colOff>
      <xdr:row>0</xdr:row>
      <xdr:rowOff>649357</xdr:rowOff>
    </xdr:to>
    <xdr:pic>
      <xdr:nvPicPr>
        <xdr:cNvPr id="4" name="Picture 3" descr="Britannia Industries - Wikipedi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31" y="0"/>
          <a:ext cx="2325756" cy="649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0</xdr:row>
      <xdr:rowOff>121920</xdr:rowOff>
    </xdr:from>
    <xdr:to>
      <xdr:col>6</xdr:col>
      <xdr:colOff>441960</xdr:colOff>
      <xdr:row>1</xdr:row>
      <xdr:rowOff>259080</xdr:rowOff>
    </xdr:to>
    <xdr:pic>
      <xdr:nvPicPr>
        <xdr:cNvPr id="2" name="Picture 1" descr="Britannia Industries - Wikipedi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920"/>
          <a:ext cx="9144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365760</xdr:colOff>
      <xdr:row>0</xdr:row>
      <xdr:rowOff>152400</xdr:rowOff>
    </xdr:from>
    <xdr:to>
      <xdr:col>19</xdr:col>
      <xdr:colOff>38100</xdr:colOff>
      <xdr:row>1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87" t="73333" r="4225" b="13478"/>
        <a:stretch/>
      </xdr:blipFill>
      <xdr:spPr>
        <a:xfrm>
          <a:off x="10439400" y="152400"/>
          <a:ext cx="1501140" cy="228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116541</xdr:rowOff>
    </xdr:from>
    <xdr:to>
      <xdr:col>6</xdr:col>
      <xdr:colOff>403412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11</xdr:row>
      <xdr:rowOff>143434</xdr:rowOff>
    </xdr:from>
    <xdr:to>
      <xdr:col>13</xdr:col>
      <xdr:colOff>213360</xdr:colOff>
      <xdr:row>25</xdr:row>
      <xdr:rowOff>130434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411480</xdr:colOff>
      <xdr:row>12</xdr:row>
      <xdr:rowOff>15236</xdr:rowOff>
    </xdr:from>
    <xdr:to>
      <xdr:col>21</xdr:col>
      <xdr:colOff>15240</xdr:colOff>
      <xdr:row>25</xdr:row>
      <xdr:rowOff>34510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22860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594360</xdr:colOff>
      <xdr:row>28</xdr:row>
      <xdr:rowOff>175260</xdr:rowOff>
    </xdr:from>
    <xdr:to>
      <xdr:col>13</xdr:col>
      <xdr:colOff>449580</xdr:colOff>
      <xdr:row>43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388620</xdr:colOff>
      <xdr:row>28</xdr:row>
      <xdr:rowOff>175260</xdr:rowOff>
    </xdr:from>
    <xdr:to>
      <xdr:col>21</xdr:col>
      <xdr:colOff>53340</xdr:colOff>
      <xdr:row>43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2" name="Picture 1" descr="https://images.moneycontrol.com/images/blank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76200</xdr:colOff>
      <xdr:row>6</xdr:row>
      <xdr:rowOff>76200</xdr:rowOff>
    </xdr:to>
    <xdr:pic>
      <xdr:nvPicPr>
        <xdr:cNvPr id="3" name="Picture 2" descr="https://images.moneycontrol.com/images/blank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76200</xdr:colOff>
      <xdr:row>59</xdr:row>
      <xdr:rowOff>76200</xdr:rowOff>
    </xdr:to>
    <xdr:pic>
      <xdr:nvPicPr>
        <xdr:cNvPr id="4" name="Picture 3" descr="https://img-d05.moneycontrol.co.in/images/blank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809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76200</xdr:colOff>
      <xdr:row>61</xdr:row>
      <xdr:rowOff>76200</xdr:rowOff>
    </xdr:to>
    <xdr:pic>
      <xdr:nvPicPr>
        <xdr:cNvPr id="5" name="Picture 4" descr="https://img-d05.moneycontrol.co.in/images/blank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466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2385060</xdr:colOff>
      <xdr:row>3</xdr:row>
      <xdr:rowOff>121920</xdr:rowOff>
    </xdr:to>
    <xdr:pic>
      <xdr:nvPicPr>
        <xdr:cNvPr id="6" name="Picture 5" descr="Britannia Industries - Wikipedia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8506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2537460</xdr:colOff>
      <xdr:row>0</xdr:row>
      <xdr:rowOff>182880</xdr:rowOff>
    </xdr:from>
    <xdr:to>
      <xdr:col>5</xdr:col>
      <xdr:colOff>594360</xdr:colOff>
      <xdr:row>3</xdr:row>
      <xdr:rowOff>30480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537460" y="182880"/>
          <a:ext cx="6515100" cy="487680"/>
        </a:xfrm>
        <a:prstGeom prst="rect">
          <a:avLst/>
        </a:prstGeom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000" b="1" u="sng">
              <a:latin typeface="Baskerville Old Face" panose="02020602080505020303" pitchFamily="18" charset="0"/>
            </a:rPr>
            <a:t>Britannia Indutries Ltd. Balance</a:t>
          </a:r>
          <a:r>
            <a:rPr lang="en-IN" sz="3000" b="1" u="sng" baseline="0">
              <a:latin typeface="Baskerville Old Face" panose="02020602080505020303" pitchFamily="18" charset="0"/>
            </a:rPr>
            <a:t> Sheet</a:t>
          </a:r>
          <a:endParaRPr lang="en-IN" sz="3000" b="1" u="sng"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 descr="https://images.moneycontrol.com/images/blank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3" name="Picture 2" descr="https://images.moneycontrol.com/images/blank.gif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99060</xdr:rowOff>
    </xdr:from>
    <xdr:to>
      <xdr:col>0</xdr:col>
      <xdr:colOff>975360</xdr:colOff>
      <xdr:row>0</xdr:row>
      <xdr:rowOff>506954</xdr:rowOff>
    </xdr:to>
    <xdr:pic>
      <xdr:nvPicPr>
        <xdr:cNvPr id="2" name="Picture 1" descr="Britannia Industries - Wikipedi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99060"/>
          <a:ext cx="944880" cy="407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2385060</xdr:colOff>
      <xdr:row>6</xdr:row>
      <xdr:rowOff>167640</xdr:rowOff>
    </xdr:to>
    <xdr:pic>
      <xdr:nvPicPr>
        <xdr:cNvPr id="2" name="Picture 1" descr="Britannia Industries - Wikipedia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85060" cy="126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7620</xdr:rowOff>
    </xdr:from>
    <xdr:to>
      <xdr:col>0</xdr:col>
      <xdr:colOff>2446020</xdr:colOff>
      <xdr:row>5</xdr:row>
      <xdr:rowOff>22860</xdr:rowOff>
    </xdr:to>
    <xdr:pic>
      <xdr:nvPicPr>
        <xdr:cNvPr id="2" name="Picture 1" descr="Britannia Industries - Wikipedi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7620"/>
          <a:ext cx="2385060" cy="929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28</xdr:row>
      <xdr:rowOff>0</xdr:rowOff>
    </xdr:from>
    <xdr:to>
      <xdr:col>6</xdr:col>
      <xdr:colOff>411480</xdr:colOff>
      <xdr:row>40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44</xdr:row>
      <xdr:rowOff>15240</xdr:rowOff>
    </xdr:from>
    <xdr:to>
      <xdr:col>7</xdr:col>
      <xdr:colOff>1333500</xdr:colOff>
      <xdr:row>55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7</xdr:col>
      <xdr:colOff>1211580</xdr:colOff>
      <xdr:row>70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</xdr:colOff>
      <xdr:row>23</xdr:row>
      <xdr:rowOff>175260</xdr:rowOff>
    </xdr:from>
    <xdr:to>
      <xdr:col>17</xdr:col>
      <xdr:colOff>373380</xdr:colOff>
      <xdr:row>34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39</xdr:row>
      <xdr:rowOff>167640</xdr:rowOff>
    </xdr:from>
    <xdr:to>
      <xdr:col>18</xdr:col>
      <xdr:colOff>160020</xdr:colOff>
      <xdr:row>53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45720</xdr:colOff>
      <xdr:row>58</xdr:row>
      <xdr:rowOff>0</xdr:rowOff>
    </xdr:from>
    <xdr:to>
      <xdr:col>18</xdr:col>
      <xdr:colOff>0</xdr:colOff>
      <xdr:row>69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68580</xdr:colOff>
      <xdr:row>76</xdr:row>
      <xdr:rowOff>0</xdr:rowOff>
    </xdr:from>
    <xdr:to>
      <xdr:col>17</xdr:col>
      <xdr:colOff>175260</xdr:colOff>
      <xdr:row>91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RA%20IA%20(25PGDM055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12.897593055553" createdVersion="5" refreshedVersion="5" minRefreshableVersion="3" recordCount="5" xr:uid="{00000000-000A-0000-FFFF-FFFF00000000}">
  <cacheSource type="worksheet">
    <worksheetSource ref="A4:H9" sheet="WORKIN SHEET" r:id="rId2"/>
  </cacheSource>
  <cacheFields count="8">
    <cacheField name="Particular" numFmtId="17">
      <sharedItems containsSemiMixedTypes="0" containsNonDate="0" containsDate="1" containsString="0" minDate="2021-03-01T00:00:00" maxDate="2025-03-02T00:00:00" count="5">
        <d v="2021-03-01T00:00:00"/>
        <d v="2022-03-01T00:00:00"/>
        <d v="2023-03-01T00:00:00"/>
        <d v="2024-03-01T00:00:00"/>
        <d v="2025-03-01T00:00:00"/>
      </sharedItems>
    </cacheField>
    <cacheField name="Revenue Yoy Growth" numFmtId="10">
      <sharedItems containsString="0" containsBlank="1" containsNumber="1" minValue="2.8754857964915368E-2" maxValue="0.15310202274151713"/>
    </cacheField>
    <cacheField name="EBITDA Yoy Growth" numFmtId="10">
      <sharedItems containsString="0" containsBlank="1" containsNumber="1" minValue="-0.14096295036425957" maxValue="0.25674204113284327"/>
    </cacheField>
    <cacheField name="PAT yoy Growth" numFmtId="10">
      <sharedItems containsString="0" containsBlank="1" containsNumber="1" minValue="-0.18008636017271962" maxValue="0.27561364655013132"/>
    </cacheField>
    <cacheField name="Gross Profit Margin" numFmtId="10">
      <sharedItems containsString="0" containsBlank="1" containsNumber="1" minValue="0.39605878782648318" maxValue="0.44673500993185761"/>
    </cacheField>
    <cacheField name="EBITDAM YOY Growth" numFmtId="10">
      <sharedItems containsSemiMixedTypes="0" containsString="0" containsNumber="1" minValue="0.17149797754144314" maxValue="0.2148393668155181"/>
    </cacheField>
    <cacheField name="NPM" numFmtId="10">
      <sharedItems containsSemiMixedTypes="0" containsString="0" containsNumber="1" minValue="0.10793519643809617" maxValue="0.14193743367534145"/>
    </cacheField>
    <cacheField name="Interest Coverage Ratio" numFmtId="2">
      <sharedItems containsSemiMixedTypes="0" containsString="0" containsNumber="1" minValue="15.412017464827786" maxValue="23.6637511271415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m/>
    <m/>
    <m/>
    <m/>
    <n v="0.2148393668155181"/>
    <n v="0.14193743367534145"/>
    <n v="23.663751127141566"/>
  </r>
  <r>
    <x v="1"/>
    <n v="7.6134998561221245E-2"/>
    <n v="-0.14096295036425957"/>
    <n v="-0.18008636017271962"/>
    <n v="0.44327405158593014"/>
    <n v="0.17149797754144314"/>
    <n v="0.10793519643809617"/>
    <n v="15.412017464827786"/>
  </r>
  <r>
    <x v="2"/>
    <n v="0.15310202274151713"/>
    <n v="0.25674204113284327"/>
    <n v="0.27561364655013132"/>
    <n v="0.39605878782648318"/>
    <n v="0.1869120980580409"/>
    <n v="0.11939290392041979"/>
    <n v="16.681608515671194"/>
  </r>
  <r>
    <x v="3"/>
    <n v="2.8754857964915368E-2"/>
    <n v="0.11069099406913019"/>
    <n v="0.10592618236871795"/>
    <n v="0.42483903917352478"/>
    <n v="0.20179888569985469"/>
    <n v="0.12777598547819924"/>
    <n v="18.802195121951232"/>
  </r>
  <r>
    <x v="4"/>
    <n v="6.997323079657003E-2"/>
    <n v="8.9302072682770125E-3"/>
    <n v="3.4144586531854919E-2"/>
    <n v="0.44673500993185761"/>
    <n v="0.19028606110461807"/>
    <n v="0.12280892420135894"/>
    <n v="22.3407780979826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B000000}" name="PivotTable3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60:B66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numFmtId="10" showAll="0"/>
    <pivotField numFmtId="10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AT yoy Growth" fld="3" baseField="0" baseItem="0" numFmtId="10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5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K41:L47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numFmtId="10" showAll="0"/>
    <pivotField numFmtId="10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BITDAM YOY Growth" fld="5" baseField="0" baseItem="0" numFmtId="10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C000000}" name="PivotTable7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K77:L83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0" showAll="0"/>
    <pivotField numFmtId="10" showAll="0"/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terest Coverage Ratio" fld="7" baseField="0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PivotTable1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colHeaderCaption="Revenue Growth">
  <location ref="A25:G27" firstHeaderRow="1" firstDataRow="2" firstDataCol="1"/>
  <pivotFields count="8">
    <pivotField axis="axisCol" numFmtId="17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numFmtId="10" showAll="0"/>
    <pivotField numFmtId="10" showAll="0"/>
    <pivotField numFmtId="2"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Yoy Growth" fld="1" baseField="1" baseItem="510582512"/>
  </dataFields>
  <formats count="2">
    <format dxfId="4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3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4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K25:L31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numFmtId="10" showAll="0"/>
    <pivotField numFmtId="10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ss Profit Margin" fld="4" baseField="0" baseItem="0"/>
  </dataFields>
  <formats count="2">
    <format dxfId="6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5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A000000}" name="PivotTable6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K59:L65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0" showAll="0"/>
    <pivotField dataField="1" numFmtId="10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PM" fld="6" baseField="0" baseItem="0" numFmtId="10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2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45:B51" firstHeaderRow="1" firstDataRow="1" firstDataCol="1"/>
  <pivotFields count="8">
    <pivotField axis="axisRow" numFmtId="17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numFmtId="10" showAll="0"/>
    <pivotField numFmtId="10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BITDA Yoy Growth" fld="2" baseField="0" baseItem="0"/>
  </dataFields>
  <formats count="2">
    <format dxfId="9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8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showGridLines="0" zoomScale="115" zoomScaleNormal="115" workbookViewId="0">
      <selection activeCell="H4" sqref="H4"/>
    </sheetView>
  </sheetViews>
  <sheetFormatPr defaultRowHeight="14.4" x14ac:dyDescent="0.3"/>
  <cols>
    <col min="1" max="1" width="46.44140625" customWidth="1"/>
    <col min="2" max="2" width="19.5546875" customWidth="1"/>
    <col min="3" max="3" width="15.21875" customWidth="1"/>
    <col min="4" max="4" width="15.6640625" customWidth="1"/>
    <col min="5" max="5" width="14.21875" customWidth="1"/>
    <col min="6" max="6" width="18.6640625" customWidth="1"/>
    <col min="8" max="8" width="28.88671875" customWidth="1"/>
    <col min="9" max="9" width="14.33203125" customWidth="1"/>
    <col min="10" max="10" width="14.109375" customWidth="1"/>
    <col min="11" max="11" width="12.77734375" customWidth="1"/>
    <col min="12" max="12" width="14.21875" customWidth="1"/>
    <col min="13" max="13" width="13.77734375" customWidth="1"/>
  </cols>
  <sheetData>
    <row r="1" spans="1:16" ht="52.8" customHeight="1" thickBot="1" x14ac:dyDescent="0.35">
      <c r="A1" s="169" t="s">
        <v>38</v>
      </c>
      <c r="B1" s="170"/>
      <c r="C1" s="170"/>
      <c r="D1" s="170"/>
      <c r="E1" s="170"/>
      <c r="F1" s="171"/>
    </row>
    <row r="2" spans="1:16" ht="33.6" customHeight="1" thickBot="1" x14ac:dyDescent="0.35">
      <c r="A2" s="124" t="s">
        <v>0</v>
      </c>
      <c r="B2" s="172" t="s">
        <v>1</v>
      </c>
      <c r="C2" s="172"/>
      <c r="D2" s="172"/>
      <c r="E2" s="172"/>
      <c r="F2" s="173"/>
      <c r="G2" s="1"/>
      <c r="P2" t="s">
        <v>43</v>
      </c>
    </row>
    <row r="3" spans="1:16" ht="15" thickBot="1" x14ac:dyDescent="0.35">
      <c r="A3" s="126"/>
      <c r="B3" s="127">
        <v>44256</v>
      </c>
      <c r="C3" s="127">
        <v>44621</v>
      </c>
      <c r="D3" s="127">
        <v>44986</v>
      </c>
      <c r="E3" s="127">
        <v>45352</v>
      </c>
      <c r="F3" s="128" t="s">
        <v>2</v>
      </c>
      <c r="G3" s="2"/>
    </row>
    <row r="4" spans="1:16" x14ac:dyDescent="0.3">
      <c r="A4" s="129" t="s">
        <v>3</v>
      </c>
      <c r="B4" s="130"/>
      <c r="C4" s="130"/>
      <c r="D4" s="130"/>
      <c r="E4" s="130"/>
      <c r="F4" s="131"/>
      <c r="G4" s="2"/>
    </row>
    <row r="5" spans="1:16" ht="33.6" customHeight="1" x14ac:dyDescent="0.3">
      <c r="A5" s="132" t="s">
        <v>4</v>
      </c>
      <c r="B5" s="66">
        <v>12883.04</v>
      </c>
      <c r="C5" s="66">
        <v>13944.67</v>
      </c>
      <c r="D5" s="66">
        <v>15984.9</v>
      </c>
      <c r="E5" s="66">
        <v>16546.21</v>
      </c>
      <c r="F5" s="133">
        <v>17535.02</v>
      </c>
      <c r="G5" s="2"/>
    </row>
    <row r="6" spans="1:16" ht="33.6" customHeight="1" x14ac:dyDescent="0.3">
      <c r="A6" s="132" t="s">
        <v>5</v>
      </c>
      <c r="B6" s="66">
        <v>12883.04</v>
      </c>
      <c r="C6" s="66">
        <v>13944.67</v>
      </c>
      <c r="D6" s="66">
        <v>15984.9</v>
      </c>
      <c r="E6" s="66">
        <v>16546.21</v>
      </c>
      <c r="F6" s="133">
        <v>17535.02</v>
      </c>
      <c r="G6" s="2"/>
    </row>
    <row r="7" spans="1:16" ht="25.2" customHeight="1" x14ac:dyDescent="0.3">
      <c r="A7" s="134" t="s">
        <v>6</v>
      </c>
      <c r="B7" s="67">
        <v>253.1</v>
      </c>
      <c r="C7" s="67">
        <v>191.59</v>
      </c>
      <c r="D7" s="67">
        <v>315.64999999999998</v>
      </c>
      <c r="E7" s="67">
        <v>223.06</v>
      </c>
      <c r="F7" s="135">
        <v>407.65</v>
      </c>
      <c r="G7" s="2"/>
    </row>
    <row r="8" spans="1:16" ht="25.2" customHeight="1" x14ac:dyDescent="0.3">
      <c r="A8" s="132" t="s">
        <v>7</v>
      </c>
      <c r="B8" s="66">
        <v>13136.14</v>
      </c>
      <c r="C8" s="66">
        <v>14136.26</v>
      </c>
      <c r="D8" s="66">
        <v>16300.55</v>
      </c>
      <c r="E8" s="66">
        <v>16769.27</v>
      </c>
      <c r="F8" s="133">
        <v>17942.669999999998</v>
      </c>
      <c r="G8" s="2"/>
    </row>
    <row r="9" spans="1:16" ht="15" thickBot="1" x14ac:dyDescent="0.35">
      <c r="A9" s="150" t="s">
        <v>8</v>
      </c>
      <c r="B9" s="159">
        <v>312.87</v>
      </c>
      <c r="C9" s="159">
        <v>222.83</v>
      </c>
      <c r="D9" s="159">
        <v>215.86</v>
      </c>
      <c r="E9" s="159">
        <v>214.18</v>
      </c>
      <c r="F9" s="160">
        <v>227.09</v>
      </c>
      <c r="G9" s="2"/>
    </row>
    <row r="10" spans="1:16" ht="16.8" customHeight="1" thickBot="1" x14ac:dyDescent="0.35">
      <c r="A10" s="126" t="s">
        <v>9</v>
      </c>
      <c r="B10" s="148">
        <v>13449.01</v>
      </c>
      <c r="C10" s="148">
        <v>14359.09</v>
      </c>
      <c r="D10" s="148">
        <v>16516.41</v>
      </c>
      <c r="E10" s="148">
        <v>16983.45</v>
      </c>
      <c r="F10" s="149">
        <v>18169.759999999998</v>
      </c>
      <c r="G10" s="2"/>
    </row>
    <row r="11" spans="1:16" x14ac:dyDescent="0.3">
      <c r="A11" s="161" t="s">
        <v>10</v>
      </c>
      <c r="B11" s="125"/>
      <c r="C11" s="125"/>
      <c r="D11" s="125"/>
      <c r="E11" s="125"/>
      <c r="F11" s="162"/>
      <c r="G11" s="2"/>
    </row>
    <row r="12" spans="1:16" ht="25.2" customHeight="1" x14ac:dyDescent="0.3">
      <c r="A12" s="134" t="s">
        <v>11</v>
      </c>
      <c r="B12" s="68">
        <v>6502.33</v>
      </c>
      <c r="C12" s="68">
        <v>7473.97</v>
      </c>
      <c r="D12" s="68">
        <v>8326.7000000000007</v>
      </c>
      <c r="E12" s="68">
        <v>8546.89</v>
      </c>
      <c r="F12" s="137">
        <v>9859.4500000000007</v>
      </c>
      <c r="G12" s="2"/>
    </row>
    <row r="13" spans="1:16" ht="25.2" customHeight="1" x14ac:dyDescent="0.3">
      <c r="A13" s="134" t="s">
        <v>12</v>
      </c>
      <c r="B13" s="68">
        <v>1160.8900000000001</v>
      </c>
      <c r="C13" s="68">
        <v>1361.59</v>
      </c>
      <c r="D13" s="68">
        <v>1337.13</v>
      </c>
      <c r="E13" s="67">
        <v>941.48</v>
      </c>
      <c r="F13" s="135">
        <v>809.35</v>
      </c>
      <c r="G13" s="2"/>
    </row>
    <row r="14" spans="1:16" ht="42" customHeight="1" x14ac:dyDescent="0.3">
      <c r="A14" s="134" t="s">
        <v>13</v>
      </c>
      <c r="B14" s="67">
        <v>-37.119999999999997</v>
      </c>
      <c r="C14" s="67">
        <v>-75.260000000000005</v>
      </c>
      <c r="D14" s="67">
        <v>-72.53</v>
      </c>
      <c r="E14" s="67">
        <v>3.66</v>
      </c>
      <c r="F14" s="135">
        <v>-64.75</v>
      </c>
      <c r="G14" s="2"/>
    </row>
    <row r="15" spans="1:16" ht="25.2" customHeight="1" x14ac:dyDescent="0.3">
      <c r="A15" s="134" t="s">
        <v>14</v>
      </c>
      <c r="B15" s="67">
        <v>527.38</v>
      </c>
      <c r="C15" s="67">
        <v>542.26</v>
      </c>
      <c r="D15" s="67">
        <v>658.38</v>
      </c>
      <c r="E15" s="67">
        <v>708.7</v>
      </c>
      <c r="F15" s="135">
        <v>704.59</v>
      </c>
      <c r="G15" s="2"/>
    </row>
    <row r="16" spans="1:16" ht="16.8" customHeight="1" x14ac:dyDescent="0.3">
      <c r="A16" s="134" t="s">
        <v>15</v>
      </c>
      <c r="B16" s="67">
        <v>110.9</v>
      </c>
      <c r="C16" s="67">
        <v>144.29</v>
      </c>
      <c r="D16" s="67">
        <v>169.1</v>
      </c>
      <c r="E16" s="67">
        <v>164</v>
      </c>
      <c r="F16" s="135">
        <v>138.80000000000001</v>
      </c>
      <c r="G16" s="2"/>
    </row>
    <row r="17" spans="1:13" ht="33.6" customHeight="1" x14ac:dyDescent="0.3">
      <c r="A17" s="134" t="s">
        <v>16</v>
      </c>
      <c r="B17" s="67">
        <v>197.85</v>
      </c>
      <c r="C17" s="67">
        <v>200.54</v>
      </c>
      <c r="D17" s="67">
        <v>225.91</v>
      </c>
      <c r="E17" s="67">
        <v>300.45999999999998</v>
      </c>
      <c r="F17" s="135">
        <v>313.33999999999997</v>
      </c>
      <c r="G17" s="2"/>
    </row>
    <row r="18" spans="1:13" ht="16.8" customHeight="1" thickBot="1" x14ac:dyDescent="0.35">
      <c r="A18" s="150" t="s">
        <v>17</v>
      </c>
      <c r="B18" s="151">
        <v>2473.37</v>
      </c>
      <c r="C18" s="151">
        <v>2632.19</v>
      </c>
      <c r="D18" s="151">
        <v>3219.96</v>
      </c>
      <c r="E18" s="151">
        <v>3398.7</v>
      </c>
      <c r="F18" s="152">
        <v>3446.88</v>
      </c>
      <c r="G18" s="2"/>
    </row>
    <row r="19" spans="1:13" ht="16.8" customHeight="1" x14ac:dyDescent="0.3">
      <c r="A19" s="153" t="s">
        <v>18</v>
      </c>
      <c r="B19" s="154">
        <v>10935.6</v>
      </c>
      <c r="C19" s="154">
        <v>12279.58</v>
      </c>
      <c r="D19" s="154">
        <v>13864.65</v>
      </c>
      <c r="E19" s="154">
        <v>14063.89</v>
      </c>
      <c r="F19" s="155">
        <v>15207.66</v>
      </c>
      <c r="G19" s="2"/>
    </row>
    <row r="20" spans="1:13" ht="58.8" customHeight="1" thickBot="1" x14ac:dyDescent="0.35">
      <c r="A20" s="156" t="s">
        <v>19</v>
      </c>
      <c r="B20" s="157">
        <v>2513.41</v>
      </c>
      <c r="C20" s="157">
        <v>2079.5100000000002</v>
      </c>
      <c r="D20" s="157">
        <v>2651.76</v>
      </c>
      <c r="E20" s="157">
        <v>2919.56</v>
      </c>
      <c r="F20" s="158">
        <v>2962.1</v>
      </c>
      <c r="G20" s="2"/>
    </row>
    <row r="21" spans="1:13" ht="16.8" customHeight="1" x14ac:dyDescent="0.3">
      <c r="A21" s="145" t="s">
        <v>20</v>
      </c>
      <c r="B21" s="146">
        <v>-0.61</v>
      </c>
      <c r="C21" s="146">
        <v>-0.98</v>
      </c>
      <c r="D21" s="146">
        <v>375.6</v>
      </c>
      <c r="E21" s="146">
        <v>-2.9</v>
      </c>
      <c r="F21" s="147">
        <v>-24.79</v>
      </c>
      <c r="G21" s="2"/>
      <c r="H21" s="3"/>
      <c r="I21" s="3"/>
      <c r="J21" s="3"/>
      <c r="K21" s="3"/>
      <c r="L21" s="3"/>
      <c r="M21" s="3"/>
    </row>
    <row r="22" spans="1:13" ht="16.8" customHeight="1" x14ac:dyDescent="0.3">
      <c r="A22" s="132" t="s">
        <v>21</v>
      </c>
      <c r="B22" s="66">
        <v>2512.8000000000002</v>
      </c>
      <c r="C22" s="66">
        <v>2078.5300000000002</v>
      </c>
      <c r="D22" s="66">
        <v>3027.36</v>
      </c>
      <c r="E22" s="66">
        <v>2916.66</v>
      </c>
      <c r="F22" s="133">
        <v>2937.31</v>
      </c>
      <c r="G22" s="2"/>
    </row>
    <row r="23" spans="1:13" ht="16.8" customHeight="1" x14ac:dyDescent="0.3">
      <c r="A23" s="132" t="s">
        <v>22</v>
      </c>
      <c r="B23" s="65"/>
      <c r="C23" s="65"/>
      <c r="D23" s="65"/>
      <c r="E23" s="65"/>
      <c r="F23" s="136"/>
      <c r="G23" s="2"/>
    </row>
    <row r="24" spans="1:13" x14ac:dyDescent="0.3">
      <c r="A24" s="134" t="s">
        <v>23</v>
      </c>
      <c r="B24" s="67">
        <v>657.12</v>
      </c>
      <c r="C24" s="67">
        <v>612.24</v>
      </c>
      <c r="D24" s="67">
        <v>720.97</v>
      </c>
      <c r="E24" s="67">
        <v>765.69</v>
      </c>
      <c r="F24" s="135">
        <v>741.68</v>
      </c>
      <c r="G24" s="2"/>
    </row>
    <row r="25" spans="1:13" x14ac:dyDescent="0.3">
      <c r="A25" s="134" t="s">
        <v>24</v>
      </c>
      <c r="B25" s="67">
        <v>5.9</v>
      </c>
      <c r="C25" s="67">
        <v>-49.89</v>
      </c>
      <c r="D25" s="67">
        <v>-4.5199999999999996</v>
      </c>
      <c r="E25" s="67">
        <v>13.56</v>
      </c>
      <c r="F25" s="135">
        <v>7.03</v>
      </c>
      <c r="G25" s="2"/>
    </row>
    <row r="26" spans="1:13" ht="16.8" customHeight="1" x14ac:dyDescent="0.3">
      <c r="A26" s="132" t="s">
        <v>25</v>
      </c>
      <c r="B26" s="65">
        <v>663.02</v>
      </c>
      <c r="C26" s="65">
        <v>562.35</v>
      </c>
      <c r="D26" s="65">
        <v>716.45</v>
      </c>
      <c r="E26" s="65">
        <v>779.25</v>
      </c>
      <c r="F26" s="138">
        <v>748.71</v>
      </c>
      <c r="G26" s="2"/>
    </row>
    <row r="27" spans="1:13" ht="42" customHeight="1" x14ac:dyDescent="0.3">
      <c r="A27" s="132" t="s">
        <v>26</v>
      </c>
      <c r="B27" s="66">
        <v>1849.78</v>
      </c>
      <c r="C27" s="66">
        <v>1516.18</v>
      </c>
      <c r="D27" s="66">
        <v>2310.91</v>
      </c>
      <c r="E27" s="66">
        <v>2137.41</v>
      </c>
      <c r="F27" s="133">
        <v>2188.6</v>
      </c>
      <c r="G27" s="2"/>
    </row>
    <row r="28" spans="1:13" ht="33.6" customHeight="1" thickBot="1" x14ac:dyDescent="0.35">
      <c r="A28" s="142" t="s">
        <v>27</v>
      </c>
      <c r="B28" s="143">
        <v>1849.78</v>
      </c>
      <c r="C28" s="143">
        <v>1516.18</v>
      </c>
      <c r="D28" s="143">
        <v>2310.91</v>
      </c>
      <c r="E28" s="143">
        <v>2137.41</v>
      </c>
      <c r="F28" s="144">
        <v>2188.6</v>
      </c>
      <c r="G28" s="2"/>
    </row>
    <row r="29" spans="1:13" ht="25.2" customHeight="1" thickBot="1" x14ac:dyDescent="0.35">
      <c r="A29" s="126" t="s">
        <v>28</v>
      </c>
      <c r="B29" s="148">
        <v>1849.78</v>
      </c>
      <c r="C29" s="148">
        <v>1516.18</v>
      </c>
      <c r="D29" s="148">
        <v>2310.91</v>
      </c>
      <c r="E29" s="148">
        <v>2137.41</v>
      </c>
      <c r="F29" s="149">
        <v>2188.6</v>
      </c>
      <c r="G29" s="2"/>
    </row>
    <row r="30" spans="1:13" ht="16.8" customHeight="1" x14ac:dyDescent="0.3">
      <c r="A30" s="145" t="s">
        <v>29</v>
      </c>
      <c r="B30" s="146">
        <v>13.31</v>
      </c>
      <c r="C30" s="146">
        <v>8.84</v>
      </c>
      <c r="D30" s="146">
        <v>5.45</v>
      </c>
      <c r="E30" s="146">
        <v>5.59</v>
      </c>
      <c r="F30" s="147">
        <v>0.87</v>
      </c>
      <c r="G30" s="2"/>
    </row>
    <row r="31" spans="1:13" ht="25.2" customHeight="1" x14ac:dyDescent="0.3">
      <c r="A31" s="134" t="s">
        <v>30</v>
      </c>
      <c r="B31" s="67">
        <v>0.81</v>
      </c>
      <c r="C31" s="67">
        <v>-0.2</v>
      </c>
      <c r="D31" s="67">
        <v>5.41</v>
      </c>
      <c r="E31" s="67">
        <v>-3.19</v>
      </c>
      <c r="F31" s="135">
        <v>-10.74</v>
      </c>
      <c r="G31" s="2"/>
    </row>
    <row r="32" spans="1:13" ht="50.4" customHeight="1" x14ac:dyDescent="0.3">
      <c r="A32" s="132" t="s">
        <v>31</v>
      </c>
      <c r="B32" s="66">
        <v>1863.9</v>
      </c>
      <c r="C32" s="66">
        <v>1524.82</v>
      </c>
      <c r="D32" s="66">
        <v>2321.77</v>
      </c>
      <c r="E32" s="66">
        <v>2139.81</v>
      </c>
      <c r="F32" s="133">
        <v>2178.73</v>
      </c>
      <c r="G32" s="2"/>
    </row>
    <row r="33" spans="1:7" ht="16.8" customHeight="1" x14ac:dyDescent="0.3">
      <c r="A33" s="132" t="s">
        <v>32</v>
      </c>
      <c r="B33" s="65"/>
      <c r="C33" s="65"/>
      <c r="D33" s="65"/>
      <c r="E33" s="65"/>
      <c r="F33" s="136"/>
      <c r="G33" s="2"/>
    </row>
    <row r="34" spans="1:7" x14ac:dyDescent="0.3">
      <c r="A34" s="132" t="s">
        <v>33</v>
      </c>
      <c r="B34" s="65"/>
      <c r="C34" s="65"/>
      <c r="D34" s="65"/>
      <c r="E34" s="65"/>
      <c r="F34" s="136"/>
      <c r="G34" s="2"/>
    </row>
    <row r="35" spans="1:7" ht="16.8" customHeight="1" x14ac:dyDescent="0.3">
      <c r="A35" s="134" t="s">
        <v>34</v>
      </c>
      <c r="B35" s="67">
        <v>77</v>
      </c>
      <c r="C35" s="67">
        <v>63</v>
      </c>
      <c r="D35" s="67">
        <v>96</v>
      </c>
      <c r="E35" s="67">
        <v>89</v>
      </c>
      <c r="F35" s="135">
        <v>90</v>
      </c>
      <c r="G35" s="2"/>
    </row>
    <row r="36" spans="1:7" ht="16.8" customHeight="1" x14ac:dyDescent="0.3">
      <c r="A36" s="134" t="s">
        <v>35</v>
      </c>
      <c r="B36" s="67">
        <v>77</v>
      </c>
      <c r="C36" s="67">
        <v>63</v>
      </c>
      <c r="D36" s="67">
        <v>96</v>
      </c>
      <c r="E36" s="67">
        <v>89</v>
      </c>
      <c r="F36" s="135">
        <v>90</v>
      </c>
      <c r="G36" s="2"/>
    </row>
    <row r="37" spans="1:7" ht="25.2" customHeight="1" x14ac:dyDescent="0.3">
      <c r="A37" s="132" t="s">
        <v>36</v>
      </c>
      <c r="B37" s="65"/>
      <c r="C37" s="65"/>
      <c r="D37" s="65"/>
      <c r="E37" s="65"/>
      <c r="F37" s="136"/>
      <c r="G37" s="2"/>
    </row>
    <row r="38" spans="1:7" ht="16.8" customHeight="1" thickBot="1" x14ac:dyDescent="0.35">
      <c r="A38" s="139" t="s">
        <v>37</v>
      </c>
      <c r="B38" s="140">
        <v>2839.66</v>
      </c>
      <c r="C38" s="140">
        <v>1794.47</v>
      </c>
      <c r="D38" s="140">
        <v>1360.91</v>
      </c>
      <c r="E38" s="140">
        <v>1734.25</v>
      </c>
      <c r="F38" s="141">
        <v>1770.38</v>
      </c>
      <c r="G38" s="2"/>
    </row>
  </sheetData>
  <mergeCells count="2">
    <mergeCell ref="A1:F1"/>
    <mergeCell ref="B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showGridLines="0" zoomScale="85" zoomScaleNormal="85" workbookViewId="0">
      <selection activeCell="J8" sqref="J8:K8"/>
    </sheetView>
  </sheetViews>
  <sheetFormatPr defaultRowHeight="14.4" x14ac:dyDescent="0.3"/>
  <cols>
    <col min="2" max="2" width="14.33203125" customWidth="1"/>
    <col min="5" max="5" width="12.109375" customWidth="1"/>
    <col min="8" max="8" width="12" customWidth="1"/>
    <col min="11" max="11" width="15.21875" customWidth="1"/>
  </cols>
  <sheetData>
    <row r="1" spans="1:24" ht="14.4" customHeight="1" x14ac:dyDescent="0.3">
      <c r="A1" s="177" t="s">
        <v>177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9"/>
    </row>
    <row r="2" spans="1:24" ht="26.4" customHeight="1" thickBot="1" x14ac:dyDescent="0.35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</row>
    <row r="3" spans="1:24" ht="15" thickBot="1" x14ac:dyDescent="0.35"/>
    <row r="4" spans="1:24" ht="15" thickBot="1" x14ac:dyDescent="0.35">
      <c r="A4" s="183" t="s">
        <v>178</v>
      </c>
      <c r="B4" s="184"/>
      <c r="D4" s="183" t="s">
        <v>179</v>
      </c>
      <c r="E4" s="184"/>
      <c r="G4" s="183" t="s">
        <v>180</v>
      </c>
      <c r="H4" s="184"/>
      <c r="J4" s="183" t="s">
        <v>174</v>
      </c>
      <c r="K4" s="184"/>
      <c r="M4" s="174"/>
      <c r="N4" s="174"/>
      <c r="P4" s="174"/>
      <c r="Q4" s="174"/>
      <c r="S4" s="174"/>
      <c r="T4" s="174"/>
      <c r="V4" s="174"/>
      <c r="W4" s="174"/>
    </row>
    <row r="5" spans="1:24" ht="15" thickBot="1" x14ac:dyDescent="0.35">
      <c r="A5" s="185">
        <f>AVERAGE('WORKIN SHEET'!B5:B9)</f>
        <v>8.1991277516055949E-2</v>
      </c>
      <c r="B5" s="186"/>
      <c r="D5" s="185">
        <f>AVERAGE('WORKIN SHEET'!C5:C9)</f>
        <v>5.8850073026497723E-2</v>
      </c>
      <c r="E5" s="186"/>
      <c r="G5" s="185">
        <f>AVERAGE('WORKIN SHEET'!D6:D9)</f>
        <v>5.8899513819496145E-2</v>
      </c>
      <c r="H5" s="186"/>
      <c r="J5" s="185">
        <f>AVERAGE('WORKIN SHEET'!F5:F9)</f>
        <v>0.19306687784389498</v>
      </c>
      <c r="K5" s="186"/>
      <c r="M5" s="175"/>
      <c r="N5" s="176"/>
      <c r="P5" s="175"/>
      <c r="Q5" s="176"/>
      <c r="S5" s="175"/>
      <c r="T5" s="176"/>
      <c r="V5" s="175"/>
      <c r="W5" s="176"/>
    </row>
    <row r="7" spans="1:24" ht="15" thickBot="1" x14ac:dyDescent="0.35"/>
    <row r="8" spans="1:24" ht="15" thickBot="1" x14ac:dyDescent="0.35">
      <c r="A8" s="183" t="s">
        <v>181</v>
      </c>
      <c r="B8" s="184"/>
      <c r="D8" s="183" t="s">
        <v>170</v>
      </c>
      <c r="E8" s="184"/>
      <c r="G8" s="183" t="s">
        <v>171</v>
      </c>
      <c r="H8" s="184"/>
      <c r="J8" s="183" t="s">
        <v>176</v>
      </c>
      <c r="K8" s="184"/>
    </row>
    <row r="9" spans="1:24" ht="15" thickBot="1" x14ac:dyDescent="0.35">
      <c r="A9" s="185">
        <f>AVERAGE('YOY GROWTH'!J18:N18)</f>
        <v>0.12358101671311469</v>
      </c>
      <c r="B9" s="186"/>
      <c r="D9" s="189">
        <f>AVERAGE('one pager'!C39:G39)</f>
        <v>2151.1999999999998</v>
      </c>
      <c r="E9" s="186"/>
      <c r="G9" s="189">
        <f>AVERAGE('one pager'!C40:G40)</f>
        <v>82.4</v>
      </c>
      <c r="H9" s="186"/>
      <c r="J9" s="187">
        <f>AVERAGE('one pager'!C17:G17)</f>
        <v>19.380070065514893</v>
      </c>
      <c r="K9" s="188"/>
    </row>
  </sheetData>
  <mergeCells count="25">
    <mergeCell ref="S5:T5"/>
    <mergeCell ref="J8:K8"/>
    <mergeCell ref="J9:K9"/>
    <mergeCell ref="A8:B8"/>
    <mergeCell ref="A9:B9"/>
    <mergeCell ref="D8:E8"/>
    <mergeCell ref="D9:E9"/>
    <mergeCell ref="G8:H8"/>
    <mergeCell ref="G9:H9"/>
    <mergeCell ref="V4:W4"/>
    <mergeCell ref="V5:W5"/>
    <mergeCell ref="A1:X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  <mergeCell ref="S4:T4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showGridLines="0" workbookViewId="0">
      <selection activeCell="C15" sqref="C15"/>
    </sheetView>
  </sheetViews>
  <sheetFormatPr defaultRowHeight="14.4" x14ac:dyDescent="0.3"/>
  <cols>
    <col min="1" max="1" width="46.88671875" customWidth="1"/>
    <col min="2" max="2" width="19.6640625" customWidth="1"/>
    <col min="3" max="3" width="19.44140625" customWidth="1"/>
    <col min="4" max="4" width="18.5546875" customWidth="1"/>
    <col min="5" max="5" width="18.77734375" customWidth="1"/>
    <col min="6" max="6" width="18.5546875" customWidth="1"/>
  </cols>
  <sheetData>
    <row r="1" spans="1:6" s="195" customFormat="1" ht="16.8" customHeight="1" x14ac:dyDescent="0.3">
      <c r="A1" s="194" t="s">
        <v>194</v>
      </c>
    </row>
    <row r="2" spans="1:6" s="197" customFormat="1" ht="16.8" customHeight="1" x14ac:dyDescent="0.3">
      <c r="A2" s="196"/>
    </row>
    <row r="3" spans="1:6" s="197" customFormat="1" ht="16.8" customHeight="1" x14ac:dyDescent="0.3">
      <c r="A3" s="196"/>
    </row>
    <row r="4" spans="1:6" s="199" customFormat="1" ht="16.8" customHeight="1" thickBot="1" x14ac:dyDescent="0.35">
      <c r="A4" s="198"/>
    </row>
    <row r="5" spans="1:6" ht="16.2" thickBot="1" x14ac:dyDescent="0.35">
      <c r="A5" s="121" t="s">
        <v>128</v>
      </c>
      <c r="B5" s="122">
        <v>44256</v>
      </c>
      <c r="C5" s="122">
        <v>44621</v>
      </c>
      <c r="D5" s="122">
        <v>44986</v>
      </c>
      <c r="E5" s="122">
        <v>45352</v>
      </c>
      <c r="F5" s="123" t="s">
        <v>2</v>
      </c>
    </row>
    <row r="6" spans="1:6" ht="15.6" x14ac:dyDescent="0.3">
      <c r="A6" s="201"/>
      <c r="B6" s="202"/>
      <c r="C6" s="202"/>
      <c r="D6" s="202"/>
      <c r="E6" s="202"/>
      <c r="F6" s="203"/>
    </row>
    <row r="7" spans="1:6" ht="16.8" customHeight="1" x14ac:dyDescent="0.3">
      <c r="A7" s="192" t="s">
        <v>76</v>
      </c>
      <c r="B7" s="193"/>
      <c r="C7" s="62"/>
      <c r="D7" s="62"/>
      <c r="E7" s="62"/>
      <c r="F7" s="111"/>
    </row>
    <row r="8" spans="1:6" ht="16.8" customHeight="1" x14ac:dyDescent="0.3">
      <c r="A8" s="192" t="s">
        <v>77</v>
      </c>
      <c r="B8" s="193"/>
      <c r="C8" s="62"/>
      <c r="D8" s="62"/>
      <c r="E8" s="62"/>
      <c r="F8" s="111"/>
    </row>
    <row r="9" spans="1:6" ht="15" x14ac:dyDescent="0.3">
      <c r="A9" s="112" t="s">
        <v>78</v>
      </c>
      <c r="B9" s="63">
        <v>24.09</v>
      </c>
      <c r="C9" s="63">
        <v>24.09</v>
      </c>
      <c r="D9" s="63">
        <v>24.09</v>
      </c>
      <c r="E9" s="63">
        <v>24.09</v>
      </c>
      <c r="F9" s="113">
        <v>24.09</v>
      </c>
    </row>
    <row r="10" spans="1:6" ht="15.6" x14ac:dyDescent="0.3">
      <c r="A10" s="114" t="s">
        <v>79</v>
      </c>
      <c r="B10" s="109">
        <v>24.09</v>
      </c>
      <c r="C10" s="109">
        <v>24.09</v>
      </c>
      <c r="D10" s="109">
        <v>24.09</v>
      </c>
      <c r="E10" s="109">
        <v>24.09</v>
      </c>
      <c r="F10" s="115">
        <v>24.09</v>
      </c>
    </row>
    <row r="11" spans="1:6" ht="15" x14ac:dyDescent="0.3">
      <c r="A11" s="112" t="s">
        <v>80</v>
      </c>
      <c r="B11" s="64">
        <v>3495.47</v>
      </c>
      <c r="C11" s="64">
        <v>2534.0100000000002</v>
      </c>
      <c r="D11" s="64">
        <v>3510.18</v>
      </c>
      <c r="E11" s="64">
        <v>3917.43</v>
      </c>
      <c r="F11" s="116">
        <v>4331.63</v>
      </c>
    </row>
    <row r="12" spans="1:6" ht="15.6" x14ac:dyDescent="0.3">
      <c r="A12" s="114" t="s">
        <v>81</v>
      </c>
      <c r="B12" s="110">
        <v>3495.47</v>
      </c>
      <c r="C12" s="110">
        <v>2534.0100000000002</v>
      </c>
      <c r="D12" s="110">
        <v>3510.18</v>
      </c>
      <c r="E12" s="110">
        <v>3917.43</v>
      </c>
      <c r="F12" s="117">
        <v>4331.63</v>
      </c>
    </row>
    <row r="13" spans="1:6" ht="15" x14ac:dyDescent="0.3">
      <c r="A13" s="112" t="s">
        <v>82</v>
      </c>
      <c r="B13" s="63">
        <v>28.1</v>
      </c>
      <c r="C13" s="63">
        <v>0</v>
      </c>
      <c r="D13" s="63">
        <v>0</v>
      </c>
      <c r="E13" s="63">
        <v>0</v>
      </c>
      <c r="F13" s="113">
        <v>0</v>
      </c>
    </row>
    <row r="14" spans="1:6" ht="15.6" x14ac:dyDescent="0.3">
      <c r="A14" s="114" t="s">
        <v>83</v>
      </c>
      <c r="B14" s="110">
        <v>3547.66</v>
      </c>
      <c r="C14" s="110">
        <v>2558.1</v>
      </c>
      <c r="D14" s="110">
        <v>3534.27</v>
      </c>
      <c r="E14" s="110">
        <v>3941.52</v>
      </c>
      <c r="F14" s="117">
        <v>4355.72</v>
      </c>
    </row>
    <row r="15" spans="1:6" ht="15" x14ac:dyDescent="0.3">
      <c r="A15" s="112" t="s">
        <v>29</v>
      </c>
      <c r="B15" s="63">
        <v>36.340000000000003</v>
      </c>
      <c r="C15" s="63">
        <v>27.5</v>
      </c>
      <c r="D15" s="63">
        <v>30.23</v>
      </c>
      <c r="E15" s="63">
        <v>24.5</v>
      </c>
      <c r="F15" s="113">
        <v>25.6</v>
      </c>
    </row>
    <row r="16" spans="1:6" ht="16.8" customHeight="1" x14ac:dyDescent="0.3">
      <c r="A16" s="192" t="s">
        <v>84</v>
      </c>
      <c r="B16" s="193"/>
      <c r="C16" s="62"/>
      <c r="D16" s="62"/>
      <c r="E16" s="62"/>
      <c r="F16" s="111"/>
    </row>
    <row r="17" spans="1:6" ht="15" x14ac:dyDescent="0.3">
      <c r="A17" s="112" t="s">
        <v>85</v>
      </c>
      <c r="B17" s="63">
        <v>747.75</v>
      </c>
      <c r="C17" s="63">
        <v>706.99</v>
      </c>
      <c r="D17" s="64">
        <v>1551.8</v>
      </c>
      <c r="E17" s="63">
        <v>904.72</v>
      </c>
      <c r="F17" s="113">
        <v>712.94</v>
      </c>
    </row>
    <row r="18" spans="1:6" ht="15" x14ac:dyDescent="0.3">
      <c r="A18" s="112" t="s">
        <v>86</v>
      </c>
      <c r="B18" s="63">
        <v>8.69</v>
      </c>
      <c r="C18" s="63">
        <v>0.81</v>
      </c>
      <c r="D18" s="63">
        <v>1.87</v>
      </c>
      <c r="E18" s="63">
        <v>2.06</v>
      </c>
      <c r="F18" s="113">
        <v>1.8</v>
      </c>
    </row>
    <row r="19" spans="1:6" ht="15" x14ac:dyDescent="0.3">
      <c r="A19" s="112" t="s">
        <v>87</v>
      </c>
      <c r="B19" s="63">
        <v>54.07</v>
      </c>
      <c r="C19" s="63">
        <v>66.400000000000006</v>
      </c>
      <c r="D19" s="63">
        <v>74.510000000000005</v>
      </c>
      <c r="E19" s="63">
        <v>85.79</v>
      </c>
      <c r="F19" s="113">
        <v>91.66</v>
      </c>
    </row>
    <row r="20" spans="1:6" ht="15" x14ac:dyDescent="0.3">
      <c r="A20" s="112" t="s">
        <v>88</v>
      </c>
      <c r="B20" s="63">
        <v>0</v>
      </c>
      <c r="C20" s="63">
        <v>0</v>
      </c>
      <c r="D20" s="63">
        <v>25.64</v>
      </c>
      <c r="E20" s="63">
        <v>30.56</v>
      </c>
      <c r="F20" s="113">
        <v>32.57</v>
      </c>
    </row>
    <row r="21" spans="1:6" ht="15.6" x14ac:dyDescent="0.3">
      <c r="A21" s="114" t="s">
        <v>89</v>
      </c>
      <c r="B21" s="109">
        <v>810.51</v>
      </c>
      <c r="C21" s="109">
        <v>774.2</v>
      </c>
      <c r="D21" s="110">
        <v>1653.82</v>
      </c>
      <c r="E21" s="110">
        <v>1023.13</v>
      </c>
      <c r="F21" s="115">
        <v>838.97</v>
      </c>
    </row>
    <row r="22" spans="1:6" ht="15.6" x14ac:dyDescent="0.3">
      <c r="A22" s="192" t="s">
        <v>90</v>
      </c>
      <c r="B22" s="193"/>
      <c r="C22" s="62"/>
      <c r="D22" s="62"/>
      <c r="E22" s="62"/>
      <c r="F22" s="111"/>
    </row>
    <row r="23" spans="1:6" ht="15" x14ac:dyDescent="0.3">
      <c r="A23" s="112" t="s">
        <v>91</v>
      </c>
      <c r="B23" s="64">
        <v>1339.42</v>
      </c>
      <c r="C23" s="64">
        <v>1758.55</v>
      </c>
      <c r="D23" s="64">
        <v>1428.71</v>
      </c>
      <c r="E23" s="64">
        <v>1136.49</v>
      </c>
      <c r="F23" s="113">
        <v>511.83</v>
      </c>
    </row>
    <row r="24" spans="1:6" ht="15" x14ac:dyDescent="0.3">
      <c r="A24" s="112" t="s">
        <v>92</v>
      </c>
      <c r="B24" s="64">
        <v>1314.75</v>
      </c>
      <c r="C24" s="64">
        <v>1285.22</v>
      </c>
      <c r="D24" s="64">
        <v>1448.81</v>
      </c>
      <c r="E24" s="64">
        <v>1627.48</v>
      </c>
      <c r="F24" s="116">
        <v>1752.23</v>
      </c>
    </row>
    <row r="25" spans="1:6" ht="15" x14ac:dyDescent="0.3">
      <c r="A25" s="112" t="s">
        <v>93</v>
      </c>
      <c r="B25" s="63">
        <v>572.63</v>
      </c>
      <c r="C25" s="63">
        <v>626.85</v>
      </c>
      <c r="D25" s="63">
        <v>743.49</v>
      </c>
      <c r="E25" s="63">
        <v>761.24</v>
      </c>
      <c r="F25" s="113">
        <v>749.54</v>
      </c>
    </row>
    <row r="26" spans="1:6" ht="15" x14ac:dyDescent="0.3">
      <c r="A26" s="112" t="s">
        <v>94</v>
      </c>
      <c r="B26" s="63">
        <v>387.47</v>
      </c>
      <c r="C26" s="63">
        <v>485.11</v>
      </c>
      <c r="D26" s="63">
        <v>513.39</v>
      </c>
      <c r="E26" s="63">
        <v>559.20000000000005</v>
      </c>
      <c r="F26" s="113">
        <v>604.66</v>
      </c>
    </row>
    <row r="27" spans="1:6" ht="15.6" x14ac:dyDescent="0.3">
      <c r="A27" s="114" t="s">
        <v>95</v>
      </c>
      <c r="B27" s="110">
        <v>3614.27</v>
      </c>
      <c r="C27" s="110">
        <v>4155.7299999999996</v>
      </c>
      <c r="D27" s="110">
        <v>4134.3999999999996</v>
      </c>
      <c r="E27" s="110">
        <v>4084.41</v>
      </c>
      <c r="F27" s="117">
        <v>3618.26</v>
      </c>
    </row>
    <row r="28" spans="1:6" ht="15.6" x14ac:dyDescent="0.3">
      <c r="A28" s="114" t="s">
        <v>96</v>
      </c>
      <c r="B28" s="110">
        <v>8008.78</v>
      </c>
      <c r="C28" s="110">
        <v>7515.53</v>
      </c>
      <c r="D28" s="110">
        <v>9352.7199999999993</v>
      </c>
      <c r="E28" s="110">
        <v>9073.56</v>
      </c>
      <c r="F28" s="117">
        <v>8838.5499999999993</v>
      </c>
    </row>
    <row r="29" spans="1:6" ht="15.6" x14ac:dyDescent="0.3">
      <c r="A29" s="192" t="s">
        <v>97</v>
      </c>
      <c r="B29" s="193"/>
      <c r="C29" s="62"/>
      <c r="D29" s="62"/>
      <c r="E29" s="62"/>
      <c r="F29" s="111"/>
    </row>
    <row r="30" spans="1:6" ht="16.8" customHeight="1" x14ac:dyDescent="0.3">
      <c r="A30" s="192" t="s">
        <v>98</v>
      </c>
      <c r="B30" s="193"/>
      <c r="C30" s="62"/>
      <c r="D30" s="62"/>
      <c r="E30" s="62"/>
      <c r="F30" s="111"/>
    </row>
    <row r="31" spans="1:6" ht="15" x14ac:dyDescent="0.3">
      <c r="A31" s="112" t="s">
        <v>99</v>
      </c>
      <c r="B31" s="64">
        <v>1648.51</v>
      </c>
      <c r="C31" s="64">
        <v>1598</v>
      </c>
      <c r="D31" s="64">
        <v>2512.8200000000002</v>
      </c>
      <c r="E31" s="64">
        <v>2630.42</v>
      </c>
      <c r="F31" s="116">
        <v>2763.51</v>
      </c>
    </row>
    <row r="32" spans="1:6" ht="15" x14ac:dyDescent="0.3">
      <c r="A32" s="112" t="s">
        <v>100</v>
      </c>
      <c r="B32" s="63">
        <v>8.5399999999999991</v>
      </c>
      <c r="C32" s="63">
        <v>15.6</v>
      </c>
      <c r="D32" s="63">
        <v>14.24</v>
      </c>
      <c r="E32" s="63">
        <v>10.9</v>
      </c>
      <c r="F32" s="113">
        <v>7.51</v>
      </c>
    </row>
    <row r="33" spans="1:6" ht="15" x14ac:dyDescent="0.3">
      <c r="A33" s="112" t="s">
        <v>101</v>
      </c>
      <c r="B33" s="63">
        <v>116.52</v>
      </c>
      <c r="C33" s="63">
        <v>535.67999999999995</v>
      </c>
      <c r="D33" s="63">
        <v>105</v>
      </c>
      <c r="E33" s="63">
        <v>187.54</v>
      </c>
      <c r="F33" s="113">
        <v>89.2</v>
      </c>
    </row>
    <row r="34" spans="1:6" ht="15.6" x14ac:dyDescent="0.3">
      <c r="A34" s="114" t="s">
        <v>102</v>
      </c>
      <c r="B34" s="110">
        <v>1773.57</v>
      </c>
      <c r="C34" s="110">
        <v>2149.2800000000002</v>
      </c>
      <c r="D34" s="110">
        <v>2632.06</v>
      </c>
      <c r="E34" s="110">
        <v>2828.86</v>
      </c>
      <c r="F34" s="117">
        <v>2860.22</v>
      </c>
    </row>
    <row r="35" spans="1:6" ht="15" x14ac:dyDescent="0.3">
      <c r="A35" s="112" t="s">
        <v>103</v>
      </c>
      <c r="B35" s="64">
        <v>1387.44</v>
      </c>
      <c r="C35" s="63">
        <v>928.64</v>
      </c>
      <c r="D35" s="64">
        <v>1523.25</v>
      </c>
      <c r="E35" s="64">
        <v>1070.21</v>
      </c>
      <c r="F35" s="116">
        <v>1753.79</v>
      </c>
    </row>
    <row r="36" spans="1:6" ht="15" x14ac:dyDescent="0.3">
      <c r="A36" s="112" t="s">
        <v>104</v>
      </c>
      <c r="B36" s="63">
        <v>9.66</v>
      </c>
      <c r="C36" s="63">
        <v>44.93</v>
      </c>
      <c r="D36" s="63">
        <v>43.64</v>
      </c>
      <c r="E36" s="63">
        <v>43.88</v>
      </c>
      <c r="F36" s="113">
        <v>36.590000000000003</v>
      </c>
    </row>
    <row r="37" spans="1:6" ht="15" x14ac:dyDescent="0.3">
      <c r="A37" s="112" t="s">
        <v>105</v>
      </c>
      <c r="B37" s="63">
        <v>74.58</v>
      </c>
      <c r="C37" s="63">
        <v>100</v>
      </c>
      <c r="D37" s="63">
        <v>150</v>
      </c>
      <c r="E37" s="63">
        <v>0</v>
      </c>
      <c r="F37" s="113">
        <v>0</v>
      </c>
    </row>
    <row r="38" spans="1:6" ht="15" x14ac:dyDescent="0.3">
      <c r="A38" s="112" t="s">
        <v>106</v>
      </c>
      <c r="B38" s="63">
        <v>207.95</v>
      </c>
      <c r="C38" s="63">
        <v>182.65</v>
      </c>
      <c r="D38" s="63">
        <v>129.38</v>
      </c>
      <c r="E38" s="63">
        <v>152.13</v>
      </c>
      <c r="F38" s="113">
        <v>141.49</v>
      </c>
    </row>
    <row r="39" spans="1:6" ht="15.6" x14ac:dyDescent="0.3">
      <c r="A39" s="114" t="s">
        <v>107</v>
      </c>
      <c r="B39" s="110">
        <v>3589.1</v>
      </c>
      <c r="C39" s="110">
        <v>3545.11</v>
      </c>
      <c r="D39" s="110">
        <v>4606.49</v>
      </c>
      <c r="E39" s="110">
        <v>4224.8999999999996</v>
      </c>
      <c r="F39" s="117">
        <v>4924.87</v>
      </c>
    </row>
    <row r="40" spans="1:6" ht="15.6" x14ac:dyDescent="0.3">
      <c r="A40" s="192" t="s">
        <v>108</v>
      </c>
      <c r="B40" s="193"/>
      <c r="C40" s="62"/>
      <c r="D40" s="62"/>
      <c r="E40" s="62"/>
      <c r="F40" s="111"/>
    </row>
    <row r="41" spans="1:6" ht="15" x14ac:dyDescent="0.3">
      <c r="A41" s="112" t="s">
        <v>109</v>
      </c>
      <c r="B41" s="64">
        <v>1393.25</v>
      </c>
      <c r="C41" s="63">
        <v>833.73</v>
      </c>
      <c r="D41" s="64">
        <v>1800.99</v>
      </c>
      <c r="E41" s="64">
        <v>1696.51</v>
      </c>
      <c r="F41" s="116">
        <v>1111.6400000000001</v>
      </c>
    </row>
    <row r="42" spans="1:6" ht="15" x14ac:dyDescent="0.3">
      <c r="A42" s="112" t="s">
        <v>110</v>
      </c>
      <c r="B42" s="64">
        <v>1091.49</v>
      </c>
      <c r="C42" s="64">
        <v>1367.49</v>
      </c>
      <c r="D42" s="64">
        <v>1193.26</v>
      </c>
      <c r="E42" s="64">
        <v>1181.22</v>
      </c>
      <c r="F42" s="116">
        <v>1236.51</v>
      </c>
    </row>
    <row r="43" spans="1:6" ht="15" x14ac:dyDescent="0.3">
      <c r="A43" s="112" t="s">
        <v>111</v>
      </c>
      <c r="B43" s="63">
        <v>257.27</v>
      </c>
      <c r="C43" s="63">
        <v>331.93</v>
      </c>
      <c r="D43" s="63">
        <v>328.94</v>
      </c>
      <c r="E43" s="63">
        <v>393.33</v>
      </c>
      <c r="F43" s="113">
        <v>448.61</v>
      </c>
    </row>
    <row r="44" spans="1:6" ht="15" x14ac:dyDescent="0.3">
      <c r="A44" s="112" t="s">
        <v>112</v>
      </c>
      <c r="B44" s="63">
        <v>211.34</v>
      </c>
      <c r="C44" s="63">
        <v>184.9</v>
      </c>
      <c r="D44" s="63">
        <v>197.98</v>
      </c>
      <c r="E44" s="63">
        <v>446.35</v>
      </c>
      <c r="F44" s="113">
        <v>312.48</v>
      </c>
    </row>
    <row r="45" spans="1:6" ht="15" x14ac:dyDescent="0.3">
      <c r="A45" s="112" t="s">
        <v>113</v>
      </c>
      <c r="B45" s="63">
        <v>946.56</v>
      </c>
      <c r="C45" s="63">
        <v>698</v>
      </c>
      <c r="D45" s="63">
        <v>560</v>
      </c>
      <c r="E45" s="63">
        <v>460</v>
      </c>
      <c r="F45" s="113">
        <v>50</v>
      </c>
    </row>
    <row r="46" spans="1:6" ht="15" x14ac:dyDescent="0.3">
      <c r="A46" s="112" t="s">
        <v>114</v>
      </c>
      <c r="B46" s="63">
        <v>519.77</v>
      </c>
      <c r="C46" s="63">
        <v>554.37</v>
      </c>
      <c r="D46" s="63">
        <v>665.06</v>
      </c>
      <c r="E46" s="63">
        <v>671.25</v>
      </c>
      <c r="F46" s="113">
        <v>754.44</v>
      </c>
    </row>
    <row r="47" spans="1:6" ht="15.6" x14ac:dyDescent="0.3">
      <c r="A47" s="114" t="s">
        <v>115</v>
      </c>
      <c r="B47" s="110">
        <v>4419.68</v>
      </c>
      <c r="C47" s="110">
        <v>3970.42</v>
      </c>
      <c r="D47" s="110">
        <v>4746.2299999999996</v>
      </c>
      <c r="E47" s="110">
        <v>4848.66</v>
      </c>
      <c r="F47" s="117">
        <v>3913.68</v>
      </c>
    </row>
    <row r="48" spans="1:6" ht="15.6" x14ac:dyDescent="0.3">
      <c r="A48" s="114" t="s">
        <v>116</v>
      </c>
      <c r="B48" s="110">
        <v>8008.78</v>
      </c>
      <c r="C48" s="110">
        <v>7515.53</v>
      </c>
      <c r="D48" s="110">
        <v>9352.7199999999993</v>
      </c>
      <c r="E48" s="110">
        <v>9073.56</v>
      </c>
      <c r="F48" s="117">
        <v>8838.5499999999993</v>
      </c>
    </row>
    <row r="49" spans="1:6" ht="16.8" customHeight="1" x14ac:dyDescent="0.3">
      <c r="A49" s="192" t="s">
        <v>32</v>
      </c>
      <c r="B49" s="193"/>
      <c r="C49" s="62"/>
      <c r="D49" s="62"/>
      <c r="E49" s="62"/>
      <c r="F49" s="111"/>
    </row>
    <row r="50" spans="1:6" ht="25.2" customHeight="1" x14ac:dyDescent="0.3">
      <c r="A50" s="192" t="s">
        <v>117</v>
      </c>
      <c r="B50" s="193"/>
      <c r="C50" s="62"/>
      <c r="D50" s="62"/>
      <c r="E50" s="62"/>
      <c r="F50" s="111"/>
    </row>
    <row r="51" spans="1:6" ht="15" x14ac:dyDescent="0.3">
      <c r="A51" s="112" t="s">
        <v>118</v>
      </c>
      <c r="B51" s="63">
        <v>584.33000000000004</v>
      </c>
      <c r="C51" s="63">
        <v>625.21</v>
      </c>
      <c r="D51" s="63">
        <v>450.31</v>
      </c>
      <c r="E51" s="63">
        <v>423.66</v>
      </c>
      <c r="F51" s="113">
        <v>267.5</v>
      </c>
    </row>
    <row r="52" spans="1:6" ht="15.6" x14ac:dyDescent="0.3">
      <c r="A52" s="192" t="s">
        <v>119</v>
      </c>
      <c r="B52" s="193"/>
      <c r="C52" s="62"/>
      <c r="D52" s="62"/>
      <c r="E52" s="62"/>
      <c r="F52" s="111"/>
    </row>
    <row r="53" spans="1:6" ht="15" x14ac:dyDescent="0.3">
      <c r="A53" s="112" t="s">
        <v>120</v>
      </c>
      <c r="B53" s="63">
        <v>21.94</v>
      </c>
      <c r="C53" s="63">
        <v>21.94</v>
      </c>
      <c r="D53" s="63">
        <v>21.94</v>
      </c>
      <c r="E53" s="63">
        <v>21.94</v>
      </c>
      <c r="F53" s="113">
        <v>21.94</v>
      </c>
    </row>
    <row r="54" spans="1:6" ht="16.8" customHeight="1" x14ac:dyDescent="0.3">
      <c r="A54" s="192" t="s">
        <v>121</v>
      </c>
      <c r="B54" s="193"/>
      <c r="C54" s="62"/>
      <c r="D54" s="62"/>
      <c r="E54" s="62"/>
      <c r="F54" s="111"/>
    </row>
    <row r="55" spans="1:6" ht="30" x14ac:dyDescent="0.3">
      <c r="A55" s="112" t="s">
        <v>122</v>
      </c>
      <c r="B55" s="64">
        <v>1385.15</v>
      </c>
      <c r="C55" s="63">
        <v>926.55</v>
      </c>
      <c r="D55" s="64">
        <v>1028.0899999999999</v>
      </c>
      <c r="E55" s="63">
        <v>578.25</v>
      </c>
      <c r="F55" s="116">
        <v>1270.17</v>
      </c>
    </row>
    <row r="56" spans="1:6" ht="16.8" customHeight="1" x14ac:dyDescent="0.3">
      <c r="A56" s="192" t="s">
        <v>123</v>
      </c>
      <c r="B56" s="193"/>
      <c r="C56" s="62"/>
      <c r="D56" s="62"/>
      <c r="E56" s="62"/>
      <c r="F56" s="111"/>
    </row>
    <row r="57" spans="1:6" ht="15" x14ac:dyDescent="0.3">
      <c r="A57" s="112" t="s">
        <v>124</v>
      </c>
      <c r="B57" s="64">
        <v>1393.25</v>
      </c>
      <c r="C57" s="63">
        <v>833.73</v>
      </c>
      <c r="D57" s="64">
        <v>1800.99</v>
      </c>
      <c r="E57" s="64">
        <v>1696.51</v>
      </c>
      <c r="F57" s="116">
        <v>1111.6400000000001</v>
      </c>
    </row>
    <row r="58" spans="1:6" ht="16.2" thickBot="1" x14ac:dyDescent="0.35">
      <c r="A58" s="118"/>
      <c r="B58" s="119"/>
      <c r="C58" s="119"/>
      <c r="D58" s="119"/>
      <c r="E58" s="119"/>
      <c r="F58" s="120"/>
    </row>
    <row r="59" spans="1:6" ht="15.6" x14ac:dyDescent="0.3">
      <c r="A59" s="200"/>
      <c r="B59" s="200"/>
      <c r="C59" s="200"/>
      <c r="D59" s="200"/>
      <c r="E59" s="200"/>
      <c r="F59" s="46"/>
    </row>
    <row r="60" spans="1:6" x14ac:dyDescent="0.3">
      <c r="A60" s="191"/>
      <c r="B60" s="191"/>
      <c r="C60" s="191"/>
      <c r="D60" s="191"/>
      <c r="E60" s="191"/>
      <c r="F60" s="6"/>
    </row>
    <row r="61" spans="1:6" x14ac:dyDescent="0.3">
      <c r="A61" s="190"/>
      <c r="B61" s="190"/>
      <c r="C61" s="190"/>
      <c r="D61" s="190"/>
      <c r="E61" s="190"/>
      <c r="F61" s="6"/>
    </row>
    <row r="62" spans="1:6" x14ac:dyDescent="0.3">
      <c r="A62" s="191"/>
      <c r="B62" s="191"/>
      <c r="C62" s="191"/>
      <c r="D62" s="191"/>
      <c r="E62" s="191"/>
      <c r="F62" s="6"/>
    </row>
  </sheetData>
  <mergeCells count="18">
    <mergeCell ref="A1:XFD4"/>
    <mergeCell ref="A54:B54"/>
    <mergeCell ref="A56:B56"/>
    <mergeCell ref="A59:E59"/>
    <mergeCell ref="A60:E60"/>
    <mergeCell ref="A6:F6"/>
    <mergeCell ref="A7:B7"/>
    <mergeCell ref="A8:B8"/>
    <mergeCell ref="A16:B16"/>
    <mergeCell ref="A22:B22"/>
    <mergeCell ref="A61:E61"/>
    <mergeCell ref="A62:E62"/>
    <mergeCell ref="A29:B29"/>
    <mergeCell ref="A30:B30"/>
    <mergeCell ref="A40:B40"/>
    <mergeCell ref="A49:B49"/>
    <mergeCell ref="A50:B50"/>
    <mergeCell ref="A52:B5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selection activeCell="H5" sqref="H5"/>
    </sheetView>
  </sheetViews>
  <sheetFormatPr defaultRowHeight="14.4" x14ac:dyDescent="0.3"/>
  <cols>
    <col min="1" max="1" width="80.88671875" customWidth="1"/>
    <col min="2" max="3" width="20.77734375" customWidth="1"/>
    <col min="4" max="4" width="20.88671875" customWidth="1"/>
    <col min="5" max="6" width="20.77734375" customWidth="1"/>
  </cols>
  <sheetData>
    <row r="1" spans="1:6" ht="15.6" x14ac:dyDescent="0.3">
      <c r="A1" s="37"/>
      <c r="B1" s="37"/>
      <c r="C1" s="37"/>
      <c r="D1" s="37"/>
      <c r="E1" s="37"/>
      <c r="F1" s="37"/>
    </row>
    <row r="2" spans="1:6" ht="56.4" x14ac:dyDescent="0.3">
      <c r="A2" s="45" t="s">
        <v>149</v>
      </c>
      <c r="B2" s="39">
        <v>45717</v>
      </c>
      <c r="C2" s="39">
        <v>45352</v>
      </c>
      <c r="D2" s="39">
        <v>44986</v>
      </c>
      <c r="E2" s="39">
        <v>44621</v>
      </c>
      <c r="F2" s="39">
        <v>44256</v>
      </c>
    </row>
    <row r="3" spans="1:6" ht="45.6" x14ac:dyDescent="0.3">
      <c r="A3" s="38" t="s">
        <v>150</v>
      </c>
      <c r="B3" s="40">
        <v>2937.31</v>
      </c>
      <c r="C3" s="40">
        <v>2916.66</v>
      </c>
      <c r="D3" s="40">
        <v>3027.36</v>
      </c>
      <c r="E3" s="40">
        <v>2078.5300000000002</v>
      </c>
      <c r="F3" s="40">
        <v>2512.8000000000002</v>
      </c>
    </row>
    <row r="4" spans="1:6" ht="22.8" x14ac:dyDescent="0.3">
      <c r="A4" s="41" t="s">
        <v>151</v>
      </c>
      <c r="B4" s="42">
        <v>2480.65</v>
      </c>
      <c r="C4" s="42">
        <v>2572.98</v>
      </c>
      <c r="D4" s="42">
        <v>2526.21</v>
      </c>
      <c r="E4" s="42">
        <v>1299.52</v>
      </c>
      <c r="F4" s="42">
        <v>1851.07</v>
      </c>
    </row>
    <row r="5" spans="1:6" ht="22.8" x14ac:dyDescent="0.3">
      <c r="A5" s="41" t="s">
        <v>152</v>
      </c>
      <c r="B5" s="43">
        <v>84.36</v>
      </c>
      <c r="C5" s="43">
        <v>475.5</v>
      </c>
      <c r="D5" s="42">
        <v>-1517.06</v>
      </c>
      <c r="E5" s="43">
        <v>910.89</v>
      </c>
      <c r="F5" s="43">
        <v>461.26</v>
      </c>
    </row>
    <row r="6" spans="1:6" ht="45.6" x14ac:dyDescent="0.3">
      <c r="A6" s="41" t="s">
        <v>153</v>
      </c>
      <c r="B6" s="42">
        <v>-2761.86</v>
      </c>
      <c r="C6" s="42">
        <v>-2830.48</v>
      </c>
      <c r="D6" s="42">
        <v>-1028.3699999999999</v>
      </c>
      <c r="E6" s="42">
        <v>-2245.84</v>
      </c>
      <c r="F6" s="42">
        <v>-2243.69</v>
      </c>
    </row>
    <row r="7" spans="1:6" ht="22.8" x14ac:dyDescent="0.3">
      <c r="A7" s="41" t="s">
        <v>154</v>
      </c>
      <c r="B7" s="43">
        <v>2.64</v>
      </c>
      <c r="C7" s="43">
        <v>1.29</v>
      </c>
      <c r="D7" s="43">
        <v>10.06</v>
      </c>
      <c r="E7" s="43">
        <v>3.3</v>
      </c>
      <c r="F7" s="43">
        <v>-2.44</v>
      </c>
    </row>
    <row r="8" spans="1:6" ht="45.6" x14ac:dyDescent="0.3">
      <c r="A8" s="41" t="s">
        <v>155</v>
      </c>
      <c r="B8" s="43">
        <v>0</v>
      </c>
      <c r="C8" s="43">
        <v>0</v>
      </c>
      <c r="D8" s="43">
        <v>0</v>
      </c>
      <c r="E8" s="43">
        <v>0</v>
      </c>
      <c r="F8" s="43">
        <v>0</v>
      </c>
    </row>
    <row r="9" spans="1:6" ht="22.8" x14ac:dyDescent="0.3">
      <c r="A9" s="38" t="s">
        <v>156</v>
      </c>
      <c r="B9" s="44">
        <v>-194.21</v>
      </c>
      <c r="C9" s="44">
        <v>219.29</v>
      </c>
      <c r="D9" s="44">
        <v>-9.16</v>
      </c>
      <c r="E9" s="44">
        <v>-32.130000000000003</v>
      </c>
      <c r="F9" s="44">
        <v>66.2</v>
      </c>
    </row>
    <row r="10" spans="1:6" ht="22.8" x14ac:dyDescent="0.3">
      <c r="A10" s="41" t="s">
        <v>157</v>
      </c>
      <c r="B10" s="43">
        <v>319.45</v>
      </c>
      <c r="C10" s="43">
        <v>100.16</v>
      </c>
      <c r="D10" s="43">
        <v>109.32</v>
      </c>
      <c r="E10" s="43">
        <v>141.44999999999999</v>
      </c>
      <c r="F10" s="43">
        <v>75.25</v>
      </c>
    </row>
    <row r="11" spans="1:6" ht="22.8" x14ac:dyDescent="0.3">
      <c r="A11" s="41" t="s">
        <v>158</v>
      </c>
      <c r="B11" s="43">
        <v>125.24</v>
      </c>
      <c r="C11" s="43">
        <v>319.45</v>
      </c>
      <c r="D11" s="43">
        <v>100.16</v>
      </c>
      <c r="E11" s="43">
        <v>109.32</v>
      </c>
      <c r="F11" s="43">
        <v>141.44999999999999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0"/>
  <sheetViews>
    <sheetView showGridLines="0" workbookViewId="0">
      <selection activeCell="I18" sqref="I18"/>
    </sheetView>
  </sheetViews>
  <sheetFormatPr defaultRowHeight="14.4" x14ac:dyDescent="0.3"/>
  <cols>
    <col min="1" max="1" width="30.44140625" customWidth="1"/>
    <col min="2" max="2" width="16.21875" customWidth="1"/>
    <col min="3" max="3" width="14.5546875" customWidth="1"/>
    <col min="4" max="4" width="15.21875" customWidth="1"/>
    <col min="5" max="5" width="14" customWidth="1"/>
    <col min="6" max="6" width="16.5546875" customWidth="1"/>
    <col min="7" max="8" width="4.109375" customWidth="1"/>
    <col min="9" max="9" width="21.109375" customWidth="1"/>
    <col min="10" max="10" width="17" customWidth="1"/>
    <col min="11" max="12" width="14.21875" customWidth="1"/>
    <col min="13" max="13" width="11.77734375" customWidth="1"/>
    <col min="14" max="14" width="12.109375" customWidth="1"/>
  </cols>
  <sheetData>
    <row r="2" spans="1:14" ht="31.8" x14ac:dyDescent="0.3">
      <c r="A2" s="204" t="s">
        <v>39</v>
      </c>
      <c r="B2" s="204"/>
      <c r="C2" s="204"/>
      <c r="D2" s="204"/>
      <c r="E2" s="204"/>
      <c r="F2" s="204"/>
    </row>
    <row r="3" spans="1:14" x14ac:dyDescent="0.3">
      <c r="A3" s="7"/>
      <c r="B3" s="22">
        <v>44256</v>
      </c>
      <c r="C3" s="22">
        <v>44621</v>
      </c>
      <c r="D3" s="22">
        <v>44986</v>
      </c>
      <c r="E3" s="22">
        <v>45352</v>
      </c>
      <c r="F3" s="23" t="s">
        <v>2</v>
      </c>
    </row>
    <row r="4" spans="1:14" x14ac:dyDescent="0.3">
      <c r="A4" s="19" t="s">
        <v>40</v>
      </c>
      <c r="B4" s="24">
        <f>'Income statement'!B8</f>
        <v>13136.14</v>
      </c>
      <c r="C4" s="24">
        <f>'Income statement'!C8</f>
        <v>14136.26</v>
      </c>
      <c r="D4" s="24">
        <f>'Income statement'!D8</f>
        <v>16300.55</v>
      </c>
      <c r="E4" s="24">
        <f>'Income statement'!E8</f>
        <v>16769.27</v>
      </c>
      <c r="F4" s="24">
        <f>'Income statement'!F8</f>
        <v>17942.669999999998</v>
      </c>
    </row>
    <row r="5" spans="1:14" x14ac:dyDescent="0.3">
      <c r="A5" s="19" t="s">
        <v>8</v>
      </c>
      <c r="B5" s="7">
        <f>'Income statement'!B9</f>
        <v>312.87</v>
      </c>
      <c r="C5" s="7">
        <f>'Income statement'!C9</f>
        <v>222.83</v>
      </c>
      <c r="D5" s="7">
        <f>'Income statement'!D9</f>
        <v>215.86</v>
      </c>
      <c r="E5" s="7">
        <f>'Income statement'!E9</f>
        <v>214.18</v>
      </c>
      <c r="F5" s="7">
        <f>'Income statement'!F9</f>
        <v>227.09</v>
      </c>
    </row>
    <row r="6" spans="1:14" x14ac:dyDescent="0.3">
      <c r="A6" s="19" t="s">
        <v>41</v>
      </c>
      <c r="B6" s="24">
        <f>B4+B5</f>
        <v>13449.01</v>
      </c>
      <c r="C6" s="24">
        <f>C4+C5</f>
        <v>14359.09</v>
      </c>
      <c r="D6" s="24">
        <f>D4+D5</f>
        <v>16516.41</v>
      </c>
      <c r="E6" s="24">
        <f>E4+E5</f>
        <v>16983.45</v>
      </c>
      <c r="F6" s="24">
        <f>F4+F5</f>
        <v>18169.759999999998</v>
      </c>
    </row>
    <row r="7" spans="1:14" x14ac:dyDescent="0.3">
      <c r="A7" s="19" t="s">
        <v>42</v>
      </c>
      <c r="B7" s="24">
        <f>'Income statement'!B12+'Income statement'!B13+'Income statement'!B14</f>
        <v>7626.1</v>
      </c>
      <c r="C7" s="24">
        <f>'Income statement'!C12+'Income statement'!C13+'Income statement'!C14</f>
        <v>8760.2999999999993</v>
      </c>
      <c r="D7" s="24">
        <f>'Income statement'!D12+'Income statement'!D13+'Income statement'!D14</f>
        <v>9591.3000000000011</v>
      </c>
      <c r="E7" s="24">
        <f>'Income statement'!E12+'Income statement'!E13+'Income statement'!E14</f>
        <v>9492.0299999999988</v>
      </c>
      <c r="F7" s="24">
        <f>'Income statement'!F12+'Income statement'!F13+'Income statement'!F14</f>
        <v>10604.050000000001</v>
      </c>
    </row>
    <row r="8" spans="1:14" x14ac:dyDescent="0.3">
      <c r="A8" s="19" t="s">
        <v>44</v>
      </c>
      <c r="B8" s="24">
        <f>B6-B7</f>
        <v>5822.91</v>
      </c>
      <c r="C8" s="24">
        <f>C6-C7</f>
        <v>5598.7900000000009</v>
      </c>
      <c r="D8" s="24">
        <f>D6-D7</f>
        <v>6925.1099999999988</v>
      </c>
      <c r="E8" s="24">
        <f>E6-E7</f>
        <v>7491.4200000000019</v>
      </c>
      <c r="F8" s="24">
        <f>F6-F7</f>
        <v>7565.7099999999973</v>
      </c>
    </row>
    <row r="9" spans="1:14" ht="28.2" x14ac:dyDescent="0.5">
      <c r="A9" s="19" t="s">
        <v>45</v>
      </c>
      <c r="B9" s="24">
        <f>'Income statement'!B15+'Income statement'!B18</f>
        <v>3000.75</v>
      </c>
      <c r="C9" s="24">
        <f>'Income statement'!C15+'Income statement'!C18</f>
        <v>3174.45</v>
      </c>
      <c r="D9" s="24">
        <f>'Income statement'!D15+'Income statement'!D18</f>
        <v>3878.34</v>
      </c>
      <c r="E9" s="24">
        <f>'Income statement'!E15+'Income statement'!E18</f>
        <v>4107.3999999999996</v>
      </c>
      <c r="F9" s="24">
        <f>'Income statement'!F15+'Income statement'!F18</f>
        <v>4151.47</v>
      </c>
      <c r="I9" s="205" t="s">
        <v>57</v>
      </c>
      <c r="J9" s="205"/>
      <c r="K9" s="205"/>
      <c r="L9" s="205"/>
      <c r="M9" s="205"/>
      <c r="N9" s="205"/>
    </row>
    <row r="10" spans="1:14" x14ac:dyDescent="0.3">
      <c r="A10" s="19" t="s">
        <v>46</v>
      </c>
      <c r="B10" s="24">
        <f>B8-B9</f>
        <v>2822.16</v>
      </c>
      <c r="C10" s="24">
        <f>C8-C9</f>
        <v>2424.3400000000011</v>
      </c>
      <c r="D10" s="24">
        <f>D8-D9</f>
        <v>3046.7699999999986</v>
      </c>
      <c r="E10" s="24">
        <f>E8-E9</f>
        <v>3384.0200000000023</v>
      </c>
      <c r="F10" s="24">
        <f>F8-F9</f>
        <v>3414.2399999999971</v>
      </c>
      <c r="I10" s="19" t="s">
        <v>58</v>
      </c>
      <c r="J10" s="22">
        <v>44256</v>
      </c>
      <c r="K10" s="22">
        <v>44621</v>
      </c>
      <c r="L10" s="22">
        <v>44986</v>
      </c>
      <c r="M10" s="22">
        <v>45352</v>
      </c>
      <c r="N10" s="23" t="s">
        <v>2</v>
      </c>
    </row>
    <row r="11" spans="1:14" x14ac:dyDescent="0.3">
      <c r="A11" s="19" t="s">
        <v>47</v>
      </c>
      <c r="B11" s="7">
        <f>'Income statement'!B17</f>
        <v>197.85</v>
      </c>
      <c r="C11" s="7">
        <f>'Income statement'!C17</f>
        <v>200.54</v>
      </c>
      <c r="D11" s="7">
        <f>'Income statement'!D17</f>
        <v>225.91</v>
      </c>
      <c r="E11" s="7">
        <f>'Income statement'!E17</f>
        <v>300.45999999999998</v>
      </c>
      <c r="F11" s="7">
        <f>'Income statement'!F17</f>
        <v>313.33999999999997</v>
      </c>
      <c r="I11" s="19" t="s">
        <v>127</v>
      </c>
      <c r="J11" s="7"/>
      <c r="K11" s="20">
        <f>('YOY GROWTH'!C4-'YOY GROWTH'!B4)/'YOY GROWTH'!B4</f>
        <v>7.6134998561221245E-2</v>
      </c>
      <c r="L11" s="20">
        <f>('YOY GROWTH'!D4-'YOY GROWTH'!C4)/'YOY GROWTH'!C4</f>
        <v>0.15310202274151713</v>
      </c>
      <c r="M11" s="20">
        <f>('YOY GROWTH'!E4-'YOY GROWTH'!D4)/'YOY GROWTH'!D4</f>
        <v>2.8754857964915368E-2</v>
      </c>
      <c r="N11" s="20">
        <f>('YOY GROWTH'!F4-'YOY GROWTH'!E4)/'YOY GROWTH'!E4</f>
        <v>6.997323079657003E-2</v>
      </c>
    </row>
    <row r="12" spans="1:14" x14ac:dyDescent="0.3">
      <c r="A12" s="19" t="s">
        <v>48</v>
      </c>
      <c r="B12" s="24">
        <f>B10-B11</f>
        <v>2624.31</v>
      </c>
      <c r="C12" s="24">
        <f>C10-C11</f>
        <v>2223.8000000000011</v>
      </c>
      <c r="D12" s="24">
        <f>D10-D11</f>
        <v>2820.8599999999988</v>
      </c>
      <c r="E12" s="24">
        <f>E10-E11</f>
        <v>3083.5600000000022</v>
      </c>
      <c r="F12" s="24">
        <f>F10-F11</f>
        <v>3100.8999999999969</v>
      </c>
      <c r="I12" s="19" t="s">
        <v>126</v>
      </c>
      <c r="J12" s="7"/>
      <c r="K12" s="20">
        <f>('YOY GROWTH'!C10-'YOY GROWTH'!B10)/'YOY GROWTH'!B10</f>
        <v>-0.14096295036425957</v>
      </c>
      <c r="L12" s="20">
        <f>('YOY GROWTH'!D10-'YOY GROWTH'!C10)/'YOY GROWTH'!C10</f>
        <v>0.25674204113284327</v>
      </c>
      <c r="M12" s="20">
        <f>('YOY GROWTH'!E10-'YOY GROWTH'!D10)/'YOY GROWTH'!D10</f>
        <v>0.11069099406913019</v>
      </c>
      <c r="N12" s="20">
        <f>('YOY GROWTH'!F10-'YOY GROWTH'!E10)/'YOY GROWTH'!E10</f>
        <v>8.9302072682770125E-3</v>
      </c>
    </row>
    <row r="13" spans="1:14" x14ac:dyDescent="0.3">
      <c r="A13" s="19" t="s">
        <v>49</v>
      </c>
      <c r="B13" s="7">
        <f>'Income statement'!B16</f>
        <v>110.9</v>
      </c>
      <c r="C13" s="7">
        <f>'Income statement'!C16</f>
        <v>144.29</v>
      </c>
      <c r="D13" s="7">
        <f>'Income statement'!D16</f>
        <v>169.1</v>
      </c>
      <c r="E13" s="7">
        <f>'Income statement'!E16</f>
        <v>164</v>
      </c>
      <c r="F13" s="7">
        <f>'Income statement'!F16</f>
        <v>138.80000000000001</v>
      </c>
      <c r="I13" s="19" t="s">
        <v>125</v>
      </c>
      <c r="J13" s="7"/>
      <c r="K13" s="20">
        <f>('YOY GROWTH'!C16-'YOY GROWTH'!B16)/'YOY GROWTH'!B16</f>
        <v>-0.18008636017271962</v>
      </c>
      <c r="L13" s="20">
        <f>('YOY GROWTH'!D16-'YOY GROWTH'!C16)/'YOY GROWTH'!C16</f>
        <v>0.27561364655013132</v>
      </c>
      <c r="M13" s="20">
        <f>('YOY GROWTH'!E16-'YOY GROWTH'!D16)/'YOY GROWTH'!D16</f>
        <v>0.10592618236871795</v>
      </c>
      <c r="N13" s="20">
        <f>('YOY GROWTH'!F16-'YOY GROWTH'!E16)/'YOY GROWTH'!E16</f>
        <v>3.4144586531854919E-2</v>
      </c>
    </row>
    <row r="14" spans="1:14" x14ac:dyDescent="0.3">
      <c r="A14" s="19" t="s">
        <v>50</v>
      </c>
      <c r="B14" s="24">
        <f>B12-B13</f>
        <v>2513.41</v>
      </c>
      <c r="C14" s="24">
        <f>C12-C13</f>
        <v>2079.5100000000011</v>
      </c>
      <c r="D14" s="24">
        <f>D12-D13</f>
        <v>2651.7599999999989</v>
      </c>
      <c r="E14" s="24">
        <f>E12-E13</f>
        <v>2919.5600000000022</v>
      </c>
      <c r="F14" s="24">
        <f>F12-F13</f>
        <v>2962.0999999999967</v>
      </c>
      <c r="I14" s="19" t="s">
        <v>62</v>
      </c>
      <c r="J14" s="7"/>
      <c r="K14" s="20">
        <f>'YOY GROWTH'!B8/'YOY GROWTH'!B4</f>
        <v>0.44327405158593014</v>
      </c>
      <c r="L14" s="20">
        <f>'YOY GROWTH'!C8/'YOY GROWTH'!C4</f>
        <v>0.39605878782648318</v>
      </c>
      <c r="M14" s="20">
        <f>'YOY GROWTH'!D8/'YOY GROWTH'!D4</f>
        <v>0.42483903917352478</v>
      </c>
      <c r="N14" s="20">
        <f>'YOY GROWTH'!E8/'YOY GROWTH'!E4</f>
        <v>0.44673500993185761</v>
      </c>
    </row>
    <row r="15" spans="1:14" x14ac:dyDescent="0.3">
      <c r="A15" s="19" t="s">
        <v>51</v>
      </c>
      <c r="B15" s="7">
        <f>'Income statement'!B24+'Income statement'!B25</f>
        <v>663.02</v>
      </c>
      <c r="C15" s="7">
        <f>'Income statement'!C24+'Income statement'!C25</f>
        <v>562.35</v>
      </c>
      <c r="D15" s="7">
        <f>'Income statement'!D24+'Income statement'!D25</f>
        <v>716.45</v>
      </c>
      <c r="E15" s="7">
        <f>'Income statement'!E24+'Income statement'!E25</f>
        <v>779.25</v>
      </c>
      <c r="F15" s="7">
        <f>'Income statement'!F24+'Income statement'!F25</f>
        <v>748.70999999999992</v>
      </c>
      <c r="I15" s="19" t="s">
        <v>63</v>
      </c>
      <c r="J15" s="20">
        <f>'YOY GROWTH'!B10/'YOY GROWTH'!B4</f>
        <v>0.2148393668155181</v>
      </c>
      <c r="K15" s="20">
        <f>'YOY GROWTH'!C10/'YOY GROWTH'!C4</f>
        <v>0.17149797754144314</v>
      </c>
      <c r="L15" s="20">
        <f>'YOY GROWTH'!D10/'YOY GROWTH'!D4</f>
        <v>0.1869120980580409</v>
      </c>
      <c r="M15" s="20">
        <f>'YOY GROWTH'!E10/'YOY GROWTH'!E4</f>
        <v>0.20179888569985469</v>
      </c>
      <c r="N15" s="20">
        <f>'YOY GROWTH'!F10/'YOY GROWTH'!F4</f>
        <v>0.19028606110461807</v>
      </c>
    </row>
    <row r="16" spans="1:14" x14ac:dyDescent="0.3">
      <c r="A16" s="19" t="s">
        <v>52</v>
      </c>
      <c r="B16" s="24">
        <f>B14-B15</f>
        <v>1850.3899999999999</v>
      </c>
      <c r="C16" s="24">
        <f>C14-C15</f>
        <v>1517.1600000000012</v>
      </c>
      <c r="D16" s="24">
        <f>D14-D15</f>
        <v>1935.3099999999988</v>
      </c>
      <c r="E16" s="24">
        <f>E14-E15</f>
        <v>2140.3100000000022</v>
      </c>
      <c r="F16" s="24">
        <f>F14-F15</f>
        <v>2213.3899999999967</v>
      </c>
      <c r="I16" s="19" t="s">
        <v>64</v>
      </c>
      <c r="J16" s="20">
        <f>'YOY GROWTH'!B18/'YOY GROWTH'!B4</f>
        <v>0.14193743367534145</v>
      </c>
      <c r="K16" s="20">
        <f>'YOY GROWTH'!C18/'YOY GROWTH'!C4</f>
        <v>0.10793519643809617</v>
      </c>
      <c r="L16" s="20">
        <f>'YOY GROWTH'!D18/'YOY GROWTH'!D4</f>
        <v>0.11939290392041979</v>
      </c>
      <c r="M16" s="20">
        <f>'YOY GROWTH'!E18/'YOY GROWTH'!E4</f>
        <v>0.12777598547819924</v>
      </c>
      <c r="N16" s="20">
        <f>'YOY GROWTH'!F18/'YOY GROWTH'!F4</f>
        <v>0.12280892420135894</v>
      </c>
    </row>
    <row r="17" spans="1:14" x14ac:dyDescent="0.3">
      <c r="A17" s="19" t="s">
        <v>53</v>
      </c>
      <c r="B17" s="7">
        <f>'Income statement'!B30+'Income statement'!B31</f>
        <v>14.120000000000001</v>
      </c>
      <c r="C17" s="7">
        <f>'Income statement'!C30+'Income statement'!C31</f>
        <v>8.64</v>
      </c>
      <c r="D17" s="7">
        <f>'Income statement'!D30+'Income statement'!D31</f>
        <v>10.86</v>
      </c>
      <c r="E17" s="7">
        <f>'Income statement'!E30+'Income statement'!E31</f>
        <v>2.4</v>
      </c>
      <c r="F17" s="7">
        <f>'Income statement'!F30+'Income statement'!F31</f>
        <v>-9.870000000000001</v>
      </c>
      <c r="I17" s="19" t="s">
        <v>65</v>
      </c>
      <c r="J17" s="21">
        <f>'YOY GROWTH'!B12/'YOY GROWTH'!B13</f>
        <v>23.663751127141566</v>
      </c>
      <c r="K17" s="21">
        <f>'YOY GROWTH'!C12/'YOY GROWTH'!C13</f>
        <v>15.412017464827786</v>
      </c>
      <c r="L17" s="21">
        <f>'YOY GROWTH'!D12/'YOY GROWTH'!D13</f>
        <v>16.681608515671194</v>
      </c>
      <c r="M17" s="21">
        <f>'YOY GROWTH'!E12/'YOY GROWTH'!E13</f>
        <v>18.802195121951232</v>
      </c>
      <c r="N17" s="21">
        <f>'YOY GROWTH'!F12/'YOY GROWTH'!F13</f>
        <v>22.340778097982685</v>
      </c>
    </row>
    <row r="18" spans="1:14" x14ac:dyDescent="0.3">
      <c r="A18" s="19" t="s">
        <v>54</v>
      </c>
      <c r="B18" s="24">
        <f>B16+B17</f>
        <v>1864.5099999999998</v>
      </c>
      <c r="C18" s="24">
        <f>C16+C17</f>
        <v>1525.8000000000013</v>
      </c>
      <c r="D18" s="24">
        <f>D16+D17</f>
        <v>1946.1699999999987</v>
      </c>
      <c r="E18" s="24">
        <f>E16+E17</f>
        <v>2142.7100000000023</v>
      </c>
      <c r="F18" s="24">
        <f>F16+F17</f>
        <v>2203.5199999999968</v>
      </c>
      <c r="I18" s="19" t="s">
        <v>182</v>
      </c>
      <c r="J18" s="36">
        <f>B16/B4</f>
        <v>0.14086253648332006</v>
      </c>
      <c r="K18" s="36">
        <f t="shared" ref="K18:N18" si="0">C16/C4</f>
        <v>0.10732400224670466</v>
      </c>
      <c r="L18" s="36">
        <f t="shared" si="0"/>
        <v>0.11872666873203658</v>
      </c>
      <c r="M18" s="36">
        <f t="shared" si="0"/>
        <v>0.12763286654696371</v>
      </c>
      <c r="N18" s="36">
        <f t="shared" si="0"/>
        <v>0.12335900955654855</v>
      </c>
    </row>
    <row r="19" spans="1:14" x14ac:dyDescent="0.3">
      <c r="A19" s="19" t="s">
        <v>55</v>
      </c>
      <c r="B19" s="7">
        <f>'Income statement'!B21</f>
        <v>-0.61</v>
      </c>
      <c r="C19" s="7">
        <f>'Income statement'!C21</f>
        <v>-0.98</v>
      </c>
      <c r="D19" s="7">
        <f>'Income statement'!D21</f>
        <v>375.6</v>
      </c>
      <c r="E19" s="7">
        <f>'Income statement'!E21</f>
        <v>-2.9</v>
      </c>
      <c r="F19" s="7">
        <f>'Income statement'!F21</f>
        <v>-24.79</v>
      </c>
      <c r="I19" s="52" t="s">
        <v>185</v>
      </c>
    </row>
    <row r="20" spans="1:14" x14ac:dyDescent="0.3">
      <c r="A20" s="25" t="s">
        <v>56</v>
      </c>
      <c r="B20" s="26">
        <f>B18+B19</f>
        <v>1863.8999999999999</v>
      </c>
      <c r="C20" s="26">
        <f>C18+C19</f>
        <v>1524.8200000000013</v>
      </c>
      <c r="D20" s="26">
        <f>D18+D19</f>
        <v>2321.7699999999986</v>
      </c>
      <c r="E20" s="26">
        <f>E18+E19</f>
        <v>2139.8100000000022</v>
      </c>
      <c r="F20" s="26">
        <f>F18+F19</f>
        <v>2178.7299999999968</v>
      </c>
    </row>
    <row r="30" spans="1:14" x14ac:dyDescent="0.3">
      <c r="A30" s="3"/>
      <c r="B30" s="5"/>
      <c r="C30" s="5"/>
      <c r="D30" s="5"/>
      <c r="E30" s="5"/>
      <c r="F30" s="5"/>
    </row>
  </sheetData>
  <mergeCells count="2">
    <mergeCell ref="A2:F2"/>
    <mergeCell ref="I9:N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C20" sqref="C20"/>
    </sheetView>
  </sheetViews>
  <sheetFormatPr defaultRowHeight="14.4" x14ac:dyDescent="0.3"/>
  <cols>
    <col min="1" max="1" width="28.88671875" customWidth="1"/>
    <col min="2" max="2" width="16.21875" customWidth="1"/>
    <col min="3" max="3" width="16.77734375" customWidth="1"/>
    <col min="4" max="4" width="14.88671875" customWidth="1"/>
    <col min="5" max="5" width="14.5546875" customWidth="1"/>
    <col min="6" max="6" width="13.33203125" customWidth="1"/>
  </cols>
  <sheetData>
    <row r="1" spans="1:6" ht="22.8" x14ac:dyDescent="0.4">
      <c r="A1" s="206" t="s">
        <v>129</v>
      </c>
      <c r="B1" s="206"/>
      <c r="C1" s="206"/>
      <c r="D1" s="206"/>
      <c r="E1" s="206"/>
      <c r="F1" s="206"/>
    </row>
    <row r="2" spans="1:6" ht="17.399999999999999" x14ac:dyDescent="0.35">
      <c r="A2" s="27" t="s">
        <v>128</v>
      </c>
      <c r="B2" s="28">
        <v>44256</v>
      </c>
      <c r="C2" s="28">
        <v>44621</v>
      </c>
      <c r="D2" s="28">
        <v>44986</v>
      </c>
      <c r="E2" s="28">
        <v>45352</v>
      </c>
      <c r="F2" s="29" t="s">
        <v>2</v>
      </c>
    </row>
    <row r="3" spans="1:6" ht="17.399999999999999" x14ac:dyDescent="0.35">
      <c r="A3" s="27" t="s">
        <v>66</v>
      </c>
      <c r="B3" s="30">
        <f>'Balance Sheet'!B9/'Balance Sheet'!B18</f>
        <v>5.1630332431433779</v>
      </c>
      <c r="C3" s="30">
        <f>'Balance Sheet'!C9/'Balance Sheet'!C18</f>
        <v>3.8288682767585742</v>
      </c>
      <c r="D3" s="30">
        <f>'Balance Sheet'!D9/'Balance Sheet'!D18</f>
        <v>2.122467983214618</v>
      </c>
      <c r="E3" s="30">
        <f>'Balance Sheet'!E9/'Balance Sheet'!E18</f>
        <v>3.2730689744252133</v>
      </c>
      <c r="F3" s="30">
        <f>'Balance Sheet'!F9/'Balance Sheet'!F18</f>
        <v>4.3126796708245427</v>
      </c>
    </row>
    <row r="4" spans="1:6" ht="17.399999999999999" x14ac:dyDescent="0.35">
      <c r="A4" s="27" t="s">
        <v>67</v>
      </c>
      <c r="B4" s="30">
        <f>'Balance Sheet'!B14/'Balance Sheet'!B6</f>
        <v>29.594852635948527</v>
      </c>
      <c r="C4" s="30">
        <f>'Balance Sheet'!C14/'Balance Sheet'!C6</f>
        <v>37.555832295558325</v>
      </c>
      <c r="D4" s="30">
        <f>'Balance Sheet'!D14/'Balance Sheet'!D6</f>
        <v>64.416770444167696</v>
      </c>
      <c r="E4" s="30">
        <f>'Balance Sheet'!E14/'Balance Sheet'!E6</f>
        <v>29.347862183478622</v>
      </c>
      <c r="F4" s="30">
        <f>'Balance Sheet'!F14/'Balance Sheet'!F6</f>
        <v>31.039850560398506</v>
      </c>
    </row>
    <row r="5" spans="1:6" ht="17.399999999999999" x14ac:dyDescent="0.35">
      <c r="A5" s="27" t="s">
        <v>68</v>
      </c>
      <c r="B5" s="30">
        <f>'Balance Sheet'!B44/'Balance Sheet'!B24</f>
        <v>1.0816469794873778</v>
      </c>
      <c r="C5" s="30">
        <f>'Balance Sheet'!C44/'Balance Sheet'!C24</f>
        <v>1.1871139283274696</v>
      </c>
      <c r="D5" s="30">
        <f>'Balance Sheet'!D44/'Balance Sheet'!D24</f>
        <v>1.147985197368421</v>
      </c>
      <c r="E5" s="30">
        <f>'Balance Sheet'!E44/'Balance Sheet'!E24</f>
        <v>0.95540855637878319</v>
      </c>
      <c r="F5" s="30">
        <f>'Balance Sheet'!F44/'Balance Sheet'!F24</f>
        <v>1.2228416803393216</v>
      </c>
    </row>
    <row r="6" spans="1:6" ht="17.399999999999999" x14ac:dyDescent="0.35">
      <c r="A6" s="27" t="s">
        <v>69</v>
      </c>
      <c r="B6" s="30">
        <f>('Balance Sheet'!B44-'Balance Sheet'!B39)/'Balance Sheet'!B24</f>
        <v>0.73990536887896385</v>
      </c>
      <c r="C6" s="30">
        <f>('Balance Sheet'!C44-'Balance Sheet'!C39)/'Balance Sheet'!C24</f>
        <v>0.89791181590486746</v>
      </c>
      <c r="D6" s="30">
        <f>('Balance Sheet'!D44-'Balance Sheet'!D39)/'Balance Sheet'!D24</f>
        <v>0.85936774380804948</v>
      </c>
      <c r="E6" s="30">
        <f>('Balance Sheet'!E44-'Balance Sheet'!E39)/'Balance Sheet'!E24</f>
        <v>0.62634723622564525</v>
      </c>
      <c r="F6" s="30">
        <f>('Balance Sheet'!F44-'Balance Sheet'!F39)/'Balance Sheet'!F24</f>
        <v>0.92084708668693827</v>
      </c>
    </row>
    <row r="7" spans="1:6" ht="17.399999999999999" x14ac:dyDescent="0.35">
      <c r="A7" s="27" t="s">
        <v>70</v>
      </c>
      <c r="B7" s="30">
        <f>('Balance Sheet'!B40/'Income statement'!B6)*365</f>
        <v>12.709938803263826</v>
      </c>
      <c r="C7" s="30">
        <f>('Balance Sheet'!C40/'Income statement'!C6)*365</f>
        <v>10.295363748299529</v>
      </c>
      <c r="D7" s="30">
        <f>('Balance Sheet'!D40/'Income statement'!D6)*365</f>
        <v>7.5110322867205923</v>
      </c>
      <c r="E7" s="30">
        <f>('Balance Sheet'!E40/'Income statement'!E6)*365</f>
        <v>7.3221873770488832</v>
      </c>
      <c r="F7" s="30">
        <f>('Balance Sheet'!F40/'Income statement'!F6)*365</f>
        <v>5.3552006213850909</v>
      </c>
    </row>
    <row r="8" spans="1:6" ht="17.399999999999999" x14ac:dyDescent="0.35">
      <c r="A8" s="27" t="s">
        <v>71</v>
      </c>
      <c r="B8" s="30">
        <f>('Balance Sheet'!B21/'YOY GROWTH'!B7)*365</f>
        <v>83.865140766577923</v>
      </c>
      <c r="C8" s="30">
        <f>('Balance Sheet'!C21/'YOY GROWTH'!C7)*365</f>
        <v>67.809344428843772</v>
      </c>
      <c r="D8" s="30">
        <f>('Balance Sheet'!D21/'YOY GROWTH'!D7)*365</f>
        <v>55.134929571590916</v>
      </c>
      <c r="E8" s="30">
        <f>('Balance Sheet'!E21/'YOY GROWTH'!E7)*365</f>
        <v>49.420966853244252</v>
      </c>
      <c r="F8" s="30">
        <f>('Balance Sheet'!F21/'YOY GROWTH'!F7)*365</f>
        <v>45.254761152578489</v>
      </c>
    </row>
    <row r="9" spans="1:6" ht="17.399999999999999" x14ac:dyDescent="0.35">
      <c r="A9" s="27" t="s">
        <v>72</v>
      </c>
      <c r="B9" s="30">
        <f>('YOY GROWTH'!B4/'Balance Sheet'!B39)</f>
        <v>10.62356147544298</v>
      </c>
      <c r="C9" s="30">
        <f>('YOY GROWTH'!C4/'Balance Sheet'!C39)</f>
        <v>11.967508169519649</v>
      </c>
      <c r="D9" s="30">
        <f>('YOY GROWTH'!D4/'Balance Sheet'!D39)</f>
        <v>13.660518244137908</v>
      </c>
      <c r="E9" s="30">
        <f>('YOY GROWTH'!E4/'Balance Sheet'!E39)</f>
        <v>12.262809965703589</v>
      </c>
      <c r="F9" s="30">
        <f>('YOY GROWTH'!F4/'Balance Sheet'!F39)</f>
        <v>16.438693895500645</v>
      </c>
    </row>
    <row r="10" spans="1:6" ht="17.399999999999999" x14ac:dyDescent="0.35">
      <c r="A10" s="27" t="s">
        <v>73</v>
      </c>
      <c r="B10" s="30">
        <f>'YOY GROWTH'!B4/'Balance Sheet'!B40</f>
        <v>29.28187066717193</v>
      </c>
      <c r="C10" s="30">
        <f>'YOY GROWTH'!C4/'Balance Sheet'!C40</f>
        <v>35.939948643632576</v>
      </c>
      <c r="D10" s="30">
        <f>'YOY GROWTH'!D4/'Balance Sheet'!D40</f>
        <v>49.554782027117405</v>
      </c>
      <c r="E10" s="30">
        <f>'YOY GROWTH'!E4/'Balance Sheet'!E40</f>
        <v>50.520501310517275</v>
      </c>
      <c r="F10" s="30">
        <f>'YOY GROWTH'!F4/'Balance Sheet'!F40</f>
        <v>69.742566175613163</v>
      </c>
    </row>
    <row r="11" spans="1:6" ht="17.399999999999999" x14ac:dyDescent="0.35">
      <c r="A11" s="27" t="s">
        <v>74</v>
      </c>
      <c r="B11" s="30">
        <f>'YOY GROWTH'!B7/'Balance Sheet'!B21</f>
        <v>4.352225449855327</v>
      </c>
      <c r="C11" s="30">
        <f>'YOY GROWTH'!C7/'Balance Sheet'!C21</f>
        <v>5.3827389583896572</v>
      </c>
      <c r="D11" s="30">
        <f>'YOY GROWTH'!D7/'Balance Sheet'!D21</f>
        <v>6.6201227214058447</v>
      </c>
      <c r="E11" s="30">
        <f>'YOY GROWTH'!E7/'Balance Sheet'!E21</f>
        <v>7.3855293257185526</v>
      </c>
      <c r="F11" s="30">
        <f>'YOY GROWTH'!F7/'Balance Sheet'!F21</f>
        <v>8.0654497052671612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4"/>
  <sheetViews>
    <sheetView showGridLines="0" workbookViewId="0">
      <selection activeCell="J13" sqref="J13"/>
    </sheetView>
  </sheetViews>
  <sheetFormatPr defaultRowHeight="14.4" x14ac:dyDescent="0.3"/>
  <cols>
    <col min="1" max="1" width="34.88671875" customWidth="1"/>
    <col min="2" max="2" width="22.44140625" customWidth="1"/>
    <col min="3" max="3" width="18.77734375" customWidth="1"/>
    <col min="4" max="4" width="18.5546875" customWidth="1"/>
    <col min="5" max="5" width="21" customWidth="1"/>
    <col min="6" max="6" width="22.33203125" customWidth="1"/>
  </cols>
  <sheetData>
    <row r="1" spans="1:11" ht="30" x14ac:dyDescent="0.3">
      <c r="A1" s="208" t="s">
        <v>75</v>
      </c>
      <c r="B1" s="208"/>
      <c r="C1" s="208"/>
      <c r="D1" s="208"/>
      <c r="E1" s="208"/>
      <c r="F1" s="208"/>
    </row>
    <row r="2" spans="1:11" ht="26.4" x14ac:dyDescent="0.3">
      <c r="A2" s="8"/>
      <c r="B2" s="9" t="s">
        <v>1</v>
      </c>
      <c r="C2" s="10"/>
      <c r="D2" s="10"/>
      <c r="E2" s="10"/>
      <c r="F2" s="10"/>
    </row>
    <row r="3" spans="1:11" x14ac:dyDescent="0.3">
      <c r="A3" s="11"/>
      <c r="B3" s="12" t="s">
        <v>2</v>
      </c>
      <c r="C3" s="13">
        <v>45352</v>
      </c>
      <c r="D3" s="13">
        <v>44986</v>
      </c>
      <c r="E3" s="13">
        <v>44621</v>
      </c>
      <c r="F3" s="13">
        <v>44256</v>
      </c>
      <c r="G3" s="6"/>
      <c r="H3" s="6"/>
      <c r="I3" s="6"/>
      <c r="J3" s="6"/>
      <c r="K3" s="6"/>
    </row>
    <row r="4" spans="1:11" ht="16.8" customHeight="1" x14ac:dyDescent="0.3">
      <c r="A4" s="207" t="s">
        <v>76</v>
      </c>
      <c r="B4" s="207"/>
      <c r="C4" s="12"/>
      <c r="D4" s="12"/>
      <c r="E4" s="12"/>
      <c r="F4" s="12"/>
      <c r="G4" s="6"/>
      <c r="H4" s="6"/>
      <c r="I4" s="6"/>
      <c r="J4" s="6"/>
      <c r="K4" s="6"/>
    </row>
    <row r="5" spans="1:11" ht="16.8" customHeight="1" x14ac:dyDescent="0.3">
      <c r="A5" s="207" t="s">
        <v>77</v>
      </c>
      <c r="B5" s="207"/>
      <c r="C5" s="12"/>
      <c r="D5" s="12"/>
      <c r="E5" s="12"/>
      <c r="F5" s="12"/>
      <c r="G5" s="6"/>
      <c r="H5" s="6"/>
      <c r="I5" s="6"/>
      <c r="J5" s="6"/>
      <c r="K5" s="6"/>
    </row>
    <row r="6" spans="1:11" x14ac:dyDescent="0.3">
      <c r="A6" s="14" t="s">
        <v>78</v>
      </c>
      <c r="B6" s="15">
        <v>24.09</v>
      </c>
      <c r="C6" s="15">
        <v>24.09</v>
      </c>
      <c r="D6" s="15">
        <v>24.09</v>
      </c>
      <c r="E6" s="15">
        <v>24.09</v>
      </c>
      <c r="F6" s="15">
        <v>24.09</v>
      </c>
      <c r="G6" s="6"/>
      <c r="H6" s="6"/>
      <c r="I6" s="6"/>
      <c r="J6" s="6"/>
      <c r="K6" s="6"/>
    </row>
    <row r="7" spans="1:11" x14ac:dyDescent="0.3">
      <c r="A7" s="8" t="s">
        <v>79</v>
      </c>
      <c r="B7" s="16">
        <v>24.09</v>
      </c>
      <c r="C7" s="16">
        <v>24.09</v>
      </c>
      <c r="D7" s="16">
        <v>24.09</v>
      </c>
      <c r="E7" s="16">
        <v>24.09</v>
      </c>
      <c r="F7" s="16">
        <v>24.09</v>
      </c>
      <c r="G7" s="6"/>
      <c r="H7" s="6"/>
      <c r="I7" s="6"/>
      <c r="J7" s="6"/>
      <c r="K7" s="6"/>
    </row>
    <row r="8" spans="1:11" x14ac:dyDescent="0.3">
      <c r="A8" s="14" t="s">
        <v>80</v>
      </c>
      <c r="B8" s="17">
        <v>4331.63</v>
      </c>
      <c r="C8" s="17">
        <v>3917.43</v>
      </c>
      <c r="D8" s="17">
        <v>3510.18</v>
      </c>
      <c r="E8" s="17">
        <v>2534.0100000000002</v>
      </c>
      <c r="F8" s="17">
        <v>3495.47</v>
      </c>
      <c r="G8" s="6"/>
      <c r="H8" s="6"/>
      <c r="I8" s="6"/>
      <c r="J8" s="6"/>
      <c r="K8" s="6"/>
    </row>
    <row r="9" spans="1:11" x14ac:dyDescent="0.3">
      <c r="A9" s="8" t="s">
        <v>81</v>
      </c>
      <c r="B9" s="18">
        <v>4331.63</v>
      </c>
      <c r="C9" s="18">
        <v>3917.43</v>
      </c>
      <c r="D9" s="18">
        <v>3510.18</v>
      </c>
      <c r="E9" s="18">
        <v>2534.0100000000002</v>
      </c>
      <c r="F9" s="18">
        <v>3495.47</v>
      </c>
      <c r="G9" s="6"/>
      <c r="H9" s="6"/>
      <c r="I9" s="6"/>
      <c r="J9" s="6"/>
      <c r="K9" s="6"/>
    </row>
    <row r="10" spans="1:11" x14ac:dyDescent="0.3">
      <c r="A10" s="14" t="s">
        <v>82</v>
      </c>
      <c r="B10" s="15">
        <v>0</v>
      </c>
      <c r="C10" s="15">
        <v>0</v>
      </c>
      <c r="D10" s="15">
        <v>0</v>
      </c>
      <c r="E10" s="15">
        <v>0</v>
      </c>
      <c r="F10" s="15">
        <v>28.1</v>
      </c>
      <c r="G10" s="6"/>
      <c r="H10" s="6"/>
      <c r="I10" s="6"/>
      <c r="J10" s="6"/>
      <c r="K10" s="6"/>
    </row>
    <row r="11" spans="1:11" x14ac:dyDescent="0.3">
      <c r="A11" s="8" t="s">
        <v>83</v>
      </c>
      <c r="B11" s="18">
        <v>4355.72</v>
      </c>
      <c r="C11" s="18">
        <v>3941.52</v>
      </c>
      <c r="D11" s="18">
        <v>3534.27</v>
      </c>
      <c r="E11" s="18">
        <v>2558.1</v>
      </c>
      <c r="F11" s="18">
        <v>3547.66</v>
      </c>
      <c r="G11" s="6"/>
      <c r="H11" s="6"/>
      <c r="I11" s="6"/>
      <c r="J11" s="6"/>
      <c r="K11" s="6"/>
    </row>
    <row r="12" spans="1:11" x14ac:dyDescent="0.3">
      <c r="A12" s="14" t="s">
        <v>29</v>
      </c>
      <c r="B12" s="15">
        <v>25.6</v>
      </c>
      <c r="C12" s="15">
        <v>24.5</v>
      </c>
      <c r="D12" s="15">
        <v>30.23</v>
      </c>
      <c r="E12" s="15">
        <v>27.5</v>
      </c>
      <c r="F12" s="15">
        <v>36.340000000000003</v>
      </c>
      <c r="G12" s="6"/>
      <c r="H12" s="6"/>
      <c r="I12" s="6"/>
      <c r="J12" s="6"/>
      <c r="K12" s="6"/>
    </row>
    <row r="13" spans="1:11" ht="16.8" customHeight="1" x14ac:dyDescent="0.3">
      <c r="A13" s="207" t="s">
        <v>84</v>
      </c>
      <c r="B13" s="207"/>
      <c r="C13" s="12"/>
      <c r="D13" s="12"/>
      <c r="E13" s="12"/>
      <c r="F13" s="12"/>
      <c r="G13" s="6"/>
      <c r="H13" s="6"/>
      <c r="I13" s="6"/>
      <c r="J13" s="6"/>
      <c r="K13" s="6"/>
    </row>
    <row r="14" spans="1:11" x14ac:dyDescent="0.3">
      <c r="A14" s="14" t="s">
        <v>85</v>
      </c>
      <c r="B14" s="15">
        <v>712.94</v>
      </c>
      <c r="C14" s="15">
        <v>904.72</v>
      </c>
      <c r="D14" s="17">
        <v>1551.8</v>
      </c>
      <c r="E14" s="15">
        <v>706.99</v>
      </c>
      <c r="F14" s="15">
        <v>747.75</v>
      </c>
      <c r="G14" s="6"/>
      <c r="H14" s="6"/>
      <c r="I14" s="6"/>
      <c r="J14" s="6"/>
      <c r="K14" s="6"/>
    </row>
    <row r="15" spans="1:11" x14ac:dyDescent="0.3">
      <c r="A15" s="14" t="s">
        <v>86</v>
      </c>
      <c r="B15" s="15">
        <v>1.8</v>
      </c>
      <c r="C15" s="15">
        <v>2.06</v>
      </c>
      <c r="D15" s="15">
        <v>1.87</v>
      </c>
      <c r="E15" s="15">
        <v>0.81</v>
      </c>
      <c r="F15" s="15">
        <v>8.69</v>
      </c>
      <c r="G15" s="6"/>
      <c r="H15" s="6"/>
      <c r="I15" s="6"/>
      <c r="J15" s="6"/>
      <c r="K15" s="6"/>
    </row>
    <row r="16" spans="1:11" x14ac:dyDescent="0.3">
      <c r="A16" s="14" t="s">
        <v>87</v>
      </c>
      <c r="B16" s="15">
        <v>91.66</v>
      </c>
      <c r="C16" s="15">
        <v>85.79</v>
      </c>
      <c r="D16" s="15">
        <v>74.510000000000005</v>
      </c>
      <c r="E16" s="15">
        <v>66.400000000000006</v>
      </c>
      <c r="F16" s="15">
        <v>54.07</v>
      </c>
      <c r="G16" s="6"/>
      <c r="H16" s="6"/>
      <c r="I16" s="6"/>
      <c r="J16" s="6"/>
      <c r="K16" s="6"/>
    </row>
    <row r="17" spans="1:11" x14ac:dyDescent="0.3">
      <c r="A17" s="14" t="s">
        <v>88</v>
      </c>
      <c r="B17" s="15">
        <v>32.57</v>
      </c>
      <c r="C17" s="15">
        <v>30.56</v>
      </c>
      <c r="D17" s="15">
        <v>25.64</v>
      </c>
      <c r="E17" s="15">
        <v>0</v>
      </c>
      <c r="F17" s="15">
        <v>0</v>
      </c>
      <c r="G17" s="6"/>
      <c r="H17" s="6"/>
      <c r="I17" s="6"/>
      <c r="J17" s="6"/>
      <c r="K17" s="6"/>
    </row>
    <row r="18" spans="1:11" x14ac:dyDescent="0.3">
      <c r="A18" s="8" t="s">
        <v>89</v>
      </c>
      <c r="B18" s="16">
        <v>838.97</v>
      </c>
      <c r="C18" s="18">
        <v>1023.13</v>
      </c>
      <c r="D18" s="18">
        <v>1653.82</v>
      </c>
      <c r="E18" s="16">
        <v>774.2</v>
      </c>
      <c r="F18" s="16">
        <v>810.51</v>
      </c>
      <c r="G18" s="6"/>
      <c r="H18" s="6"/>
      <c r="I18" s="6"/>
      <c r="J18" s="6"/>
      <c r="K18" s="6"/>
    </row>
    <row r="19" spans="1:11" x14ac:dyDescent="0.3">
      <c r="A19" s="207" t="s">
        <v>90</v>
      </c>
      <c r="B19" s="207"/>
      <c r="C19" s="12"/>
      <c r="D19" s="12"/>
      <c r="E19" s="12"/>
      <c r="F19" s="12"/>
      <c r="G19" s="6"/>
      <c r="H19" s="6"/>
      <c r="I19" s="6"/>
      <c r="J19" s="6"/>
      <c r="K19" s="6"/>
    </row>
    <row r="20" spans="1:11" x14ac:dyDescent="0.3">
      <c r="A20" s="14" t="s">
        <v>91</v>
      </c>
      <c r="B20" s="15">
        <v>511.83</v>
      </c>
      <c r="C20" s="17">
        <v>1136.49</v>
      </c>
      <c r="D20" s="17">
        <v>1428.71</v>
      </c>
      <c r="E20" s="17">
        <v>1758.55</v>
      </c>
      <c r="F20" s="17">
        <v>1339.42</v>
      </c>
      <c r="G20" s="6"/>
      <c r="H20" s="6"/>
      <c r="I20" s="6"/>
      <c r="J20" s="6"/>
      <c r="K20" s="6"/>
    </row>
    <row r="21" spans="1:11" x14ac:dyDescent="0.3">
      <c r="A21" s="14" t="s">
        <v>92</v>
      </c>
      <c r="B21" s="17">
        <v>1752.23</v>
      </c>
      <c r="C21" s="17">
        <v>1627.48</v>
      </c>
      <c r="D21" s="17">
        <v>1448.81</v>
      </c>
      <c r="E21" s="17">
        <v>1285.22</v>
      </c>
      <c r="F21" s="17">
        <v>1314.75</v>
      </c>
      <c r="G21" s="6"/>
      <c r="H21" s="6"/>
      <c r="I21" s="6"/>
      <c r="J21" s="6"/>
      <c r="K21" s="6"/>
    </row>
    <row r="22" spans="1:11" x14ac:dyDescent="0.3">
      <c r="A22" s="14" t="s">
        <v>93</v>
      </c>
      <c r="B22" s="15">
        <v>749.54</v>
      </c>
      <c r="C22" s="15">
        <v>761.24</v>
      </c>
      <c r="D22" s="15">
        <v>743.49</v>
      </c>
      <c r="E22" s="15">
        <v>626.85</v>
      </c>
      <c r="F22" s="15">
        <v>572.63</v>
      </c>
      <c r="G22" s="6"/>
      <c r="H22" s="6"/>
      <c r="I22" s="6"/>
      <c r="J22" s="6"/>
      <c r="K22" s="6"/>
    </row>
    <row r="23" spans="1:11" x14ac:dyDescent="0.3">
      <c r="A23" s="14" t="s">
        <v>94</v>
      </c>
      <c r="B23" s="15">
        <v>604.66</v>
      </c>
      <c r="C23" s="15">
        <v>559.20000000000005</v>
      </c>
      <c r="D23" s="15">
        <v>513.39</v>
      </c>
      <c r="E23" s="15">
        <v>485.11</v>
      </c>
      <c r="F23" s="15">
        <v>387.47</v>
      </c>
      <c r="G23" s="6"/>
      <c r="H23" s="6"/>
      <c r="I23" s="6"/>
      <c r="J23" s="6"/>
      <c r="K23" s="6"/>
    </row>
    <row r="24" spans="1:11" x14ac:dyDescent="0.3">
      <c r="A24" s="8" t="s">
        <v>95</v>
      </c>
      <c r="B24" s="18">
        <v>3618.26</v>
      </c>
      <c r="C24" s="18">
        <v>4084.41</v>
      </c>
      <c r="D24" s="18">
        <v>4134.3999999999996</v>
      </c>
      <c r="E24" s="18">
        <v>4155.7299999999996</v>
      </c>
      <c r="F24" s="18">
        <v>3614.27</v>
      </c>
      <c r="G24" s="6"/>
      <c r="H24" s="6"/>
      <c r="I24" s="6"/>
      <c r="J24" s="6"/>
      <c r="K24" s="6"/>
    </row>
    <row r="25" spans="1:11" x14ac:dyDescent="0.3">
      <c r="A25" s="8" t="s">
        <v>96</v>
      </c>
      <c r="B25" s="18">
        <v>8838.5499999999993</v>
      </c>
      <c r="C25" s="18">
        <v>9073.56</v>
      </c>
      <c r="D25" s="18">
        <v>9352.7199999999993</v>
      </c>
      <c r="E25" s="18">
        <v>7515.53</v>
      </c>
      <c r="F25" s="18">
        <v>8008.78</v>
      </c>
      <c r="G25" s="6"/>
      <c r="H25" s="6"/>
      <c r="I25" s="6"/>
      <c r="J25" s="6"/>
      <c r="K25" s="6"/>
    </row>
    <row r="26" spans="1:11" x14ac:dyDescent="0.3">
      <c r="A26" s="207" t="s">
        <v>97</v>
      </c>
      <c r="B26" s="207"/>
      <c r="C26" s="12"/>
      <c r="D26" s="12"/>
      <c r="E26" s="12"/>
      <c r="F26" s="12"/>
      <c r="G26" s="6"/>
      <c r="H26" s="6"/>
      <c r="I26" s="6"/>
      <c r="J26" s="6"/>
      <c r="K26" s="6"/>
    </row>
    <row r="27" spans="1:11" ht="16.8" customHeight="1" x14ac:dyDescent="0.3">
      <c r="A27" s="207" t="s">
        <v>98</v>
      </c>
      <c r="B27" s="207"/>
      <c r="C27" s="12"/>
      <c r="D27" s="12"/>
      <c r="E27" s="12"/>
      <c r="F27" s="12"/>
      <c r="G27" s="6"/>
      <c r="H27" s="6"/>
      <c r="I27" s="6"/>
      <c r="J27" s="6"/>
      <c r="K27" s="6"/>
    </row>
    <row r="28" spans="1:11" x14ac:dyDescent="0.3">
      <c r="A28" s="14" t="s">
        <v>99</v>
      </c>
      <c r="B28" s="17">
        <v>2763.51</v>
      </c>
      <c r="C28" s="17">
        <v>2630.42</v>
      </c>
      <c r="D28" s="17">
        <v>2512.8200000000002</v>
      </c>
      <c r="E28" s="17">
        <v>1598</v>
      </c>
      <c r="F28" s="17">
        <v>1648.51</v>
      </c>
      <c r="G28" s="6"/>
      <c r="H28" s="6"/>
      <c r="I28" s="6"/>
      <c r="J28" s="6"/>
      <c r="K28" s="6"/>
    </row>
    <row r="29" spans="1:11" x14ac:dyDescent="0.3">
      <c r="A29" s="14" t="s">
        <v>100</v>
      </c>
      <c r="B29" s="15">
        <v>7.51</v>
      </c>
      <c r="C29" s="15">
        <v>10.9</v>
      </c>
      <c r="D29" s="15">
        <v>14.24</v>
      </c>
      <c r="E29" s="15">
        <v>15.6</v>
      </c>
      <c r="F29" s="15">
        <v>8.5399999999999991</v>
      </c>
      <c r="G29" s="6"/>
      <c r="H29" s="6"/>
      <c r="I29" s="6"/>
      <c r="J29" s="6"/>
      <c r="K29" s="6"/>
    </row>
    <row r="30" spans="1:11" x14ac:dyDescent="0.3">
      <c r="A30" s="14" t="s">
        <v>101</v>
      </c>
      <c r="B30" s="15">
        <v>89.2</v>
      </c>
      <c r="C30" s="15">
        <v>187.54</v>
      </c>
      <c r="D30" s="15">
        <v>105</v>
      </c>
      <c r="E30" s="15">
        <v>535.67999999999995</v>
      </c>
      <c r="F30" s="15">
        <v>116.52</v>
      </c>
      <c r="G30" s="6"/>
      <c r="H30" s="6"/>
      <c r="I30" s="6"/>
      <c r="J30" s="6"/>
      <c r="K30" s="6"/>
    </row>
    <row r="31" spans="1:11" x14ac:dyDescent="0.3">
      <c r="A31" s="8" t="s">
        <v>102</v>
      </c>
      <c r="B31" s="18">
        <v>2860.22</v>
      </c>
      <c r="C31" s="18">
        <v>2828.86</v>
      </c>
      <c r="D31" s="18">
        <v>2632.06</v>
      </c>
      <c r="E31" s="18">
        <v>2149.2800000000002</v>
      </c>
      <c r="F31" s="18">
        <v>1773.57</v>
      </c>
      <c r="G31" s="6"/>
      <c r="H31" s="6"/>
      <c r="I31" s="6"/>
      <c r="J31" s="6"/>
      <c r="K31" s="6"/>
    </row>
    <row r="32" spans="1:11" x14ac:dyDescent="0.3">
      <c r="A32" s="14" t="s">
        <v>103</v>
      </c>
      <c r="B32" s="17">
        <v>1753.79</v>
      </c>
      <c r="C32" s="17">
        <v>1070.21</v>
      </c>
      <c r="D32" s="17">
        <v>1523.25</v>
      </c>
      <c r="E32" s="15">
        <v>928.64</v>
      </c>
      <c r="F32" s="17">
        <v>1387.44</v>
      </c>
      <c r="G32" s="6"/>
      <c r="H32" s="6"/>
      <c r="I32" s="6"/>
      <c r="J32" s="6"/>
      <c r="K32" s="6"/>
    </row>
    <row r="33" spans="1:11" x14ac:dyDescent="0.3">
      <c r="A33" s="14" t="s">
        <v>104</v>
      </c>
      <c r="B33" s="15">
        <v>36.590000000000003</v>
      </c>
      <c r="C33" s="15">
        <v>43.88</v>
      </c>
      <c r="D33" s="15">
        <v>43.64</v>
      </c>
      <c r="E33" s="15">
        <v>44.93</v>
      </c>
      <c r="F33" s="15">
        <v>9.66</v>
      </c>
      <c r="G33" s="6"/>
      <c r="H33" s="6"/>
      <c r="I33" s="6"/>
      <c r="J33" s="6"/>
      <c r="K33" s="6"/>
    </row>
    <row r="34" spans="1:11" x14ac:dyDescent="0.3">
      <c r="A34" s="14" t="s">
        <v>105</v>
      </c>
      <c r="B34" s="15">
        <v>0</v>
      </c>
      <c r="C34" s="15">
        <v>0</v>
      </c>
      <c r="D34" s="15">
        <v>150</v>
      </c>
      <c r="E34" s="15">
        <v>100</v>
      </c>
      <c r="F34" s="15">
        <v>74.58</v>
      </c>
      <c r="G34" s="6"/>
      <c r="H34" s="6"/>
      <c r="I34" s="6"/>
      <c r="J34" s="6"/>
      <c r="K34" s="6"/>
    </row>
    <row r="35" spans="1:11" x14ac:dyDescent="0.3">
      <c r="A35" s="14" t="s">
        <v>106</v>
      </c>
      <c r="B35" s="15">
        <v>141.49</v>
      </c>
      <c r="C35" s="15">
        <v>152.13</v>
      </c>
      <c r="D35" s="15">
        <v>129.38</v>
      </c>
      <c r="E35" s="15">
        <v>182.65</v>
      </c>
      <c r="F35" s="15">
        <v>207.95</v>
      </c>
      <c r="G35" s="6"/>
      <c r="H35" s="6"/>
      <c r="I35" s="6"/>
      <c r="J35" s="6"/>
      <c r="K35" s="6"/>
    </row>
    <row r="36" spans="1:11" x14ac:dyDescent="0.3">
      <c r="A36" s="8" t="s">
        <v>107</v>
      </c>
      <c r="B36" s="18">
        <v>4924.87</v>
      </c>
      <c r="C36" s="18">
        <v>4224.8999999999996</v>
      </c>
      <c r="D36" s="18">
        <v>4606.49</v>
      </c>
      <c r="E36" s="18">
        <v>3545.11</v>
      </c>
      <c r="F36" s="18">
        <v>3589.1</v>
      </c>
      <c r="G36" s="6"/>
      <c r="H36" s="6"/>
      <c r="I36" s="6"/>
      <c r="J36" s="6"/>
      <c r="K36" s="6"/>
    </row>
    <row r="37" spans="1:11" x14ac:dyDescent="0.3">
      <c r="A37" s="207" t="s">
        <v>108</v>
      </c>
      <c r="B37" s="207"/>
      <c r="C37" s="12"/>
      <c r="D37" s="12"/>
      <c r="E37" s="12"/>
      <c r="F37" s="12"/>
      <c r="G37" s="6"/>
      <c r="H37" s="6"/>
      <c r="I37" s="6"/>
      <c r="J37" s="6"/>
      <c r="K37" s="6"/>
    </row>
    <row r="38" spans="1:11" x14ac:dyDescent="0.3">
      <c r="A38" s="14" t="s">
        <v>109</v>
      </c>
      <c r="B38" s="17">
        <v>1111.6400000000001</v>
      </c>
      <c r="C38" s="17">
        <v>1696.51</v>
      </c>
      <c r="D38" s="17">
        <v>1800.99</v>
      </c>
      <c r="E38" s="15">
        <v>833.73</v>
      </c>
      <c r="F38" s="17">
        <v>1393.25</v>
      </c>
      <c r="G38" s="6"/>
      <c r="H38" s="6"/>
      <c r="I38" s="6"/>
      <c r="J38" s="6"/>
      <c r="K38" s="6"/>
    </row>
    <row r="39" spans="1:11" x14ac:dyDescent="0.3">
      <c r="A39" s="14" t="s">
        <v>110</v>
      </c>
      <c r="B39" s="17">
        <v>1236.51</v>
      </c>
      <c r="C39" s="17">
        <v>1181.22</v>
      </c>
      <c r="D39" s="17">
        <v>1193.26</v>
      </c>
      <c r="E39" s="17">
        <v>1367.49</v>
      </c>
      <c r="F39" s="17">
        <v>1091.49</v>
      </c>
      <c r="G39" s="6"/>
      <c r="H39" s="6"/>
      <c r="I39" s="6"/>
      <c r="J39" s="6"/>
      <c r="K39" s="6"/>
    </row>
    <row r="40" spans="1:11" x14ac:dyDescent="0.3">
      <c r="A40" s="14" t="s">
        <v>111</v>
      </c>
      <c r="B40" s="15">
        <v>448.61</v>
      </c>
      <c r="C40" s="15">
        <v>393.33</v>
      </c>
      <c r="D40" s="15">
        <v>328.94</v>
      </c>
      <c r="E40" s="15">
        <v>331.93</v>
      </c>
      <c r="F40" s="15">
        <v>257.27</v>
      </c>
      <c r="G40" s="6"/>
      <c r="H40" s="6"/>
      <c r="I40" s="6"/>
      <c r="J40" s="6"/>
      <c r="K40" s="6"/>
    </row>
    <row r="41" spans="1:11" x14ac:dyDescent="0.3">
      <c r="A41" s="14" t="s">
        <v>112</v>
      </c>
      <c r="B41" s="15">
        <v>312.48</v>
      </c>
      <c r="C41" s="15">
        <v>446.35</v>
      </c>
      <c r="D41" s="15">
        <v>197.98</v>
      </c>
      <c r="E41" s="15">
        <v>184.9</v>
      </c>
      <c r="F41" s="15">
        <v>211.34</v>
      </c>
      <c r="G41" s="6"/>
      <c r="H41" s="6"/>
      <c r="I41" s="6"/>
      <c r="J41" s="6"/>
      <c r="K41" s="6"/>
    </row>
    <row r="42" spans="1:11" x14ac:dyDescent="0.3">
      <c r="A42" s="14" t="s">
        <v>113</v>
      </c>
      <c r="B42" s="15">
        <v>50</v>
      </c>
      <c r="C42" s="15">
        <v>460</v>
      </c>
      <c r="D42" s="15">
        <v>560</v>
      </c>
      <c r="E42" s="15">
        <v>698</v>
      </c>
      <c r="F42" s="15">
        <v>946.56</v>
      </c>
      <c r="G42" s="6"/>
      <c r="H42" s="6"/>
      <c r="I42" s="6"/>
      <c r="J42" s="6"/>
      <c r="K42" s="6"/>
    </row>
    <row r="43" spans="1:11" x14ac:dyDescent="0.3">
      <c r="A43" s="14" t="s">
        <v>114</v>
      </c>
      <c r="B43" s="15">
        <v>754.44</v>
      </c>
      <c r="C43" s="15">
        <v>671.25</v>
      </c>
      <c r="D43" s="15">
        <v>665.06</v>
      </c>
      <c r="E43" s="15">
        <v>554.37</v>
      </c>
      <c r="F43" s="15">
        <v>519.77</v>
      </c>
      <c r="G43" s="6"/>
      <c r="H43" s="6"/>
      <c r="I43" s="6"/>
      <c r="J43" s="6"/>
      <c r="K43" s="6"/>
    </row>
    <row r="44" spans="1:11" x14ac:dyDescent="0.3">
      <c r="A44" s="8" t="s">
        <v>115</v>
      </c>
      <c r="B44" s="18">
        <v>3913.68</v>
      </c>
      <c r="C44" s="18">
        <v>4848.66</v>
      </c>
      <c r="D44" s="18">
        <v>4746.2299999999996</v>
      </c>
      <c r="E44" s="18">
        <v>3970.42</v>
      </c>
      <c r="F44" s="18">
        <v>4419.68</v>
      </c>
      <c r="G44" s="6"/>
      <c r="H44" s="6"/>
      <c r="I44" s="6"/>
      <c r="J44" s="6"/>
      <c r="K44" s="6"/>
    </row>
    <row r="45" spans="1:11" x14ac:dyDescent="0.3">
      <c r="A45" s="8" t="s">
        <v>116</v>
      </c>
      <c r="B45" s="18">
        <v>8838.5499999999993</v>
      </c>
      <c r="C45" s="18">
        <v>9073.56</v>
      </c>
      <c r="D45" s="18">
        <v>9352.7199999999993</v>
      </c>
      <c r="E45" s="18">
        <v>7515.53</v>
      </c>
      <c r="F45" s="18">
        <v>8008.78</v>
      </c>
      <c r="G45" s="6"/>
      <c r="H45" s="6"/>
      <c r="I45" s="6"/>
      <c r="J45" s="6"/>
      <c r="K45" s="6"/>
    </row>
    <row r="46" spans="1:11" ht="16.8" customHeight="1" x14ac:dyDescent="0.3">
      <c r="A46" s="207" t="s">
        <v>32</v>
      </c>
      <c r="B46" s="207"/>
      <c r="C46" s="12"/>
      <c r="D46" s="12"/>
      <c r="E46" s="12"/>
      <c r="F46" s="12"/>
      <c r="G46" s="6"/>
      <c r="H46" s="6"/>
      <c r="I46" s="6"/>
      <c r="J46" s="6"/>
      <c r="K46" s="6"/>
    </row>
    <row r="47" spans="1:11" ht="25.2" customHeight="1" x14ac:dyDescent="0.3">
      <c r="A47" s="207" t="s">
        <v>117</v>
      </c>
      <c r="B47" s="207"/>
      <c r="C47" s="12"/>
      <c r="D47" s="12"/>
      <c r="E47" s="12"/>
      <c r="F47" s="12"/>
      <c r="G47" s="6"/>
      <c r="H47" s="6"/>
      <c r="I47" s="6"/>
      <c r="J47" s="6"/>
      <c r="K47" s="6"/>
    </row>
    <row r="48" spans="1:11" x14ac:dyDescent="0.3">
      <c r="A48" s="14" t="s">
        <v>118</v>
      </c>
      <c r="B48" s="15">
        <v>267.5</v>
      </c>
      <c r="C48" s="15">
        <v>423.66</v>
      </c>
      <c r="D48" s="15">
        <v>450.31</v>
      </c>
      <c r="E48" s="15">
        <v>625.21</v>
      </c>
      <c r="F48" s="15">
        <v>584.33000000000004</v>
      </c>
      <c r="G48" s="6"/>
      <c r="H48" s="6"/>
      <c r="I48" s="6"/>
      <c r="J48" s="6"/>
      <c r="K48" s="6"/>
    </row>
    <row r="49" spans="1:11" x14ac:dyDescent="0.3">
      <c r="A49" s="207" t="s">
        <v>119</v>
      </c>
      <c r="B49" s="207"/>
      <c r="C49" s="12"/>
      <c r="D49" s="12"/>
      <c r="E49" s="12"/>
      <c r="F49" s="12"/>
      <c r="G49" s="6"/>
      <c r="H49" s="6"/>
      <c r="I49" s="6"/>
      <c r="J49" s="6"/>
      <c r="K49" s="6"/>
    </row>
    <row r="50" spans="1:11" x14ac:dyDescent="0.3">
      <c r="A50" s="14" t="s">
        <v>120</v>
      </c>
      <c r="B50" s="15">
        <v>21.94</v>
      </c>
      <c r="C50" s="15">
        <v>21.94</v>
      </c>
      <c r="D50" s="15">
        <v>21.94</v>
      </c>
      <c r="E50" s="15">
        <v>21.94</v>
      </c>
      <c r="F50" s="15">
        <v>21.94</v>
      </c>
      <c r="G50" s="6"/>
      <c r="H50" s="6"/>
      <c r="I50" s="6"/>
      <c r="J50" s="6"/>
      <c r="K50" s="6"/>
    </row>
    <row r="51" spans="1:11" ht="16.8" customHeight="1" x14ac:dyDescent="0.3">
      <c r="A51" s="207" t="s">
        <v>121</v>
      </c>
      <c r="B51" s="207"/>
      <c r="C51" s="12"/>
      <c r="D51" s="12"/>
      <c r="E51" s="12"/>
      <c r="F51" s="12"/>
      <c r="G51" s="6"/>
      <c r="H51" s="6"/>
      <c r="I51" s="6"/>
      <c r="J51" s="6"/>
      <c r="K51" s="6"/>
    </row>
    <row r="52" spans="1:11" ht="26.4" x14ac:dyDescent="0.3">
      <c r="A52" s="14" t="s">
        <v>122</v>
      </c>
      <c r="B52" s="17">
        <v>1270.17</v>
      </c>
      <c r="C52" s="15">
        <v>578.25</v>
      </c>
      <c r="D52" s="17">
        <v>1028.0899999999999</v>
      </c>
      <c r="E52" s="15">
        <v>926.55</v>
      </c>
      <c r="F52" s="17">
        <v>1385.15</v>
      </c>
      <c r="G52" s="6"/>
      <c r="H52" s="6"/>
      <c r="I52" s="6"/>
      <c r="J52" s="6"/>
      <c r="K52" s="6"/>
    </row>
    <row r="53" spans="1:11" ht="16.8" customHeight="1" x14ac:dyDescent="0.3">
      <c r="A53" s="207" t="s">
        <v>123</v>
      </c>
      <c r="B53" s="207"/>
      <c r="C53" s="12"/>
      <c r="D53" s="12"/>
      <c r="E53" s="12"/>
      <c r="F53" s="12"/>
      <c r="G53" s="6"/>
      <c r="H53" s="6"/>
      <c r="I53" s="6"/>
      <c r="J53" s="6"/>
      <c r="K53" s="6"/>
    </row>
    <row r="54" spans="1:11" ht="26.4" x14ac:dyDescent="0.3">
      <c r="A54" s="14" t="s">
        <v>124</v>
      </c>
      <c r="B54" s="17">
        <v>1111.6400000000001</v>
      </c>
      <c r="C54" s="17">
        <v>1696.51</v>
      </c>
      <c r="D54" s="17">
        <v>1800.99</v>
      </c>
      <c r="E54" s="15">
        <v>833.73</v>
      </c>
      <c r="F54" s="17">
        <v>1393.25</v>
      </c>
      <c r="G54" s="6"/>
      <c r="H54" s="6"/>
      <c r="I54" s="6"/>
      <c r="J54" s="6"/>
      <c r="K54" s="6"/>
    </row>
  </sheetData>
  <mergeCells count="13">
    <mergeCell ref="A51:B51"/>
    <mergeCell ref="A53:B53"/>
    <mergeCell ref="A1:F1"/>
    <mergeCell ref="A26:B26"/>
    <mergeCell ref="A27:B27"/>
    <mergeCell ref="A37:B37"/>
    <mergeCell ref="A46:B46"/>
    <mergeCell ref="A47:B47"/>
    <mergeCell ref="A49:B49"/>
    <mergeCell ref="A4:B4"/>
    <mergeCell ref="A5:B5"/>
    <mergeCell ref="A13:B13"/>
    <mergeCell ref="A19:B19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A14" sqref="A14"/>
    </sheetView>
  </sheetViews>
  <sheetFormatPr defaultRowHeight="14.4" x14ac:dyDescent="0.3"/>
  <cols>
    <col min="1" max="1" width="49.109375" customWidth="1"/>
    <col min="2" max="2" width="18.33203125" customWidth="1"/>
    <col min="3" max="3" width="16.5546875" customWidth="1"/>
    <col min="4" max="4" width="17" customWidth="1"/>
    <col min="5" max="5" width="19.33203125" customWidth="1"/>
    <col min="6" max="6" width="18.77734375" customWidth="1"/>
  </cols>
  <sheetData>
    <row r="1" spans="1:6" ht="49.2" customHeight="1" thickBot="1" x14ac:dyDescent="0.35">
      <c r="A1" s="209" t="s">
        <v>195</v>
      </c>
      <c r="B1" s="210"/>
      <c r="C1" s="210"/>
      <c r="D1" s="210"/>
      <c r="E1" s="210"/>
      <c r="F1" s="211"/>
    </row>
    <row r="2" spans="1:6" ht="17.399999999999999" thickBot="1" x14ac:dyDescent="0.35">
      <c r="A2" s="106" t="s">
        <v>128</v>
      </c>
      <c r="B2" s="107">
        <v>44256</v>
      </c>
      <c r="C2" s="107">
        <v>44621</v>
      </c>
      <c r="D2" s="107">
        <v>44986</v>
      </c>
      <c r="E2" s="107">
        <v>45352</v>
      </c>
      <c r="F2" s="108">
        <v>45717</v>
      </c>
    </row>
    <row r="3" spans="1:6" ht="16.8" x14ac:dyDescent="0.3">
      <c r="A3" s="163" t="s">
        <v>160</v>
      </c>
      <c r="B3" s="164">
        <v>1876</v>
      </c>
      <c r="C3" s="164">
        <v>1300</v>
      </c>
      <c r="D3" s="164">
        <v>2526</v>
      </c>
      <c r="E3" s="164">
        <v>2573</v>
      </c>
      <c r="F3" s="165">
        <v>2481</v>
      </c>
    </row>
    <row r="4" spans="1:6" ht="16.8" x14ac:dyDescent="0.3">
      <c r="A4" s="101" t="s">
        <v>161</v>
      </c>
      <c r="B4" s="69">
        <v>433</v>
      </c>
      <c r="C4" s="69">
        <v>914</v>
      </c>
      <c r="D4" s="70">
        <v>-1507</v>
      </c>
      <c r="E4" s="69">
        <v>485</v>
      </c>
      <c r="F4" s="102">
        <v>87</v>
      </c>
    </row>
    <row r="5" spans="1:6" ht="16.8" x14ac:dyDescent="0.3">
      <c r="A5" s="166" t="s">
        <v>162</v>
      </c>
      <c r="B5" s="167">
        <v>-2242</v>
      </c>
      <c r="C5" s="167">
        <v>-2246</v>
      </c>
      <c r="D5" s="167">
        <v>-1028</v>
      </c>
      <c r="E5" s="167">
        <v>-2839</v>
      </c>
      <c r="F5" s="168">
        <v>-2762</v>
      </c>
    </row>
    <row r="6" spans="1:6" ht="17.399999999999999" thickBot="1" x14ac:dyDescent="0.35">
      <c r="A6" s="103" t="s">
        <v>159</v>
      </c>
      <c r="B6" s="104">
        <v>66</v>
      </c>
      <c r="C6" s="104">
        <v>-32</v>
      </c>
      <c r="D6" s="104">
        <v>-9</v>
      </c>
      <c r="E6" s="104">
        <v>219</v>
      </c>
      <c r="F6" s="105">
        <v>-194</v>
      </c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52"/>
  <sheetViews>
    <sheetView showGridLines="0" topLeftCell="P7" workbookViewId="0">
      <selection activeCell="AL21" sqref="AL21"/>
    </sheetView>
  </sheetViews>
  <sheetFormatPr defaultRowHeight="14.4" x14ac:dyDescent="0.3"/>
  <cols>
    <col min="1" max="1" width="36.33203125" customWidth="1"/>
    <col min="2" max="2" width="25" customWidth="1"/>
    <col min="3" max="3" width="14.21875" customWidth="1"/>
    <col min="4" max="4" width="14.33203125" customWidth="1"/>
    <col min="5" max="5" width="14.21875" customWidth="1"/>
    <col min="6" max="6" width="14.33203125" customWidth="1"/>
    <col min="7" max="7" width="16" customWidth="1"/>
    <col min="9" max="9" width="7.33203125" customWidth="1"/>
    <col min="11" max="11" width="11.5546875" customWidth="1"/>
    <col min="12" max="12" width="6.33203125" customWidth="1"/>
    <col min="14" max="14" width="14.109375" customWidth="1"/>
    <col min="17" max="17" width="9.109375" hidden="1" customWidth="1"/>
    <col min="18" max="18" width="12.77734375" hidden="1" customWidth="1"/>
    <col min="19" max="19" width="11" hidden="1" customWidth="1"/>
    <col min="20" max="20" width="14.5546875" hidden="1" customWidth="1"/>
    <col min="21" max="21" width="0" hidden="1" customWidth="1"/>
    <col min="22" max="22" width="9.5546875" hidden="1" customWidth="1"/>
    <col min="23" max="23" width="12.6640625" hidden="1" customWidth="1"/>
    <col min="24" max="24" width="10" hidden="1" customWidth="1"/>
    <col min="25" max="25" width="12.5546875" hidden="1" customWidth="1"/>
    <col min="26" max="26" width="25.6640625" hidden="1" customWidth="1"/>
    <col min="27" max="27" width="22.6640625" hidden="1" customWidth="1"/>
    <col min="28" max="28" width="12.5546875" customWidth="1"/>
    <col min="29" max="29" width="19.6640625" customWidth="1"/>
    <col min="35" max="35" width="12.5546875" bestFit="1" customWidth="1"/>
    <col min="36" max="36" width="22" bestFit="1" customWidth="1"/>
    <col min="37" max="37" width="19.5546875" bestFit="1" customWidth="1"/>
  </cols>
  <sheetData>
    <row r="1" spans="2:39" x14ac:dyDescent="0.3">
      <c r="B1" s="212" t="s">
        <v>148</v>
      </c>
      <c r="C1" s="212"/>
      <c r="D1" s="212"/>
      <c r="E1" s="212"/>
      <c r="F1" s="212"/>
      <c r="G1" s="212"/>
      <c r="H1" s="212"/>
    </row>
    <row r="2" spans="2:39" x14ac:dyDescent="0.3">
      <c r="B2" s="212"/>
      <c r="C2" s="212"/>
      <c r="D2" s="212"/>
      <c r="E2" s="212"/>
      <c r="F2" s="212"/>
      <c r="G2" s="212"/>
      <c r="H2" s="212"/>
    </row>
    <row r="3" spans="2:39" x14ac:dyDescent="0.3">
      <c r="B3" s="212"/>
      <c r="C3" s="212"/>
      <c r="D3" s="212"/>
      <c r="E3" s="212"/>
      <c r="F3" s="212"/>
      <c r="G3" s="212"/>
      <c r="H3" s="212"/>
    </row>
    <row r="4" spans="2:39" x14ac:dyDescent="0.3">
      <c r="B4" s="212"/>
      <c r="C4" s="212"/>
      <c r="D4" s="212"/>
      <c r="E4" s="212"/>
      <c r="F4" s="212"/>
      <c r="G4" s="212"/>
      <c r="H4" s="212"/>
    </row>
    <row r="5" spans="2:39" x14ac:dyDescent="0.3">
      <c r="B5" s="212"/>
      <c r="C5" s="212"/>
      <c r="D5" s="212"/>
      <c r="E5" s="212"/>
      <c r="F5" s="212"/>
      <c r="G5" s="212"/>
      <c r="H5" s="212"/>
    </row>
    <row r="6" spans="2:39" x14ac:dyDescent="0.3">
      <c r="B6" s="212"/>
      <c r="C6" s="212"/>
      <c r="D6" s="212"/>
      <c r="E6" s="212"/>
      <c r="F6" s="212"/>
      <c r="G6" s="212"/>
      <c r="H6" s="212"/>
    </row>
    <row r="9" spans="2:39" ht="31.2" x14ac:dyDescent="0.3">
      <c r="B9" s="213" t="s">
        <v>57</v>
      </c>
      <c r="C9" s="214"/>
      <c r="D9" s="214"/>
      <c r="E9" s="214"/>
      <c r="F9" s="214"/>
      <c r="G9" s="214"/>
      <c r="H9" s="215"/>
      <c r="J9" s="216" t="s">
        <v>173</v>
      </c>
      <c r="K9" s="217"/>
      <c r="M9" s="216" t="s">
        <v>174</v>
      </c>
      <c r="N9" s="217"/>
      <c r="P9" t="s">
        <v>134</v>
      </c>
      <c r="Q9" t="s">
        <v>59</v>
      </c>
      <c r="R9" t="s">
        <v>60</v>
      </c>
      <c r="S9" t="s">
        <v>61</v>
      </c>
      <c r="T9" t="s">
        <v>62</v>
      </c>
      <c r="U9" t="s">
        <v>63</v>
      </c>
      <c r="V9" t="s">
        <v>64</v>
      </c>
      <c r="W9" t="s">
        <v>65</v>
      </c>
      <c r="X9" t="s">
        <v>66</v>
      </c>
      <c r="Y9" t="s">
        <v>67</v>
      </c>
      <c r="Z9" t="s">
        <v>68</v>
      </c>
      <c r="AA9" t="s">
        <v>69</v>
      </c>
      <c r="AB9" t="s">
        <v>70</v>
      </c>
      <c r="AC9" t="s">
        <v>71</v>
      </c>
      <c r="AD9" t="s">
        <v>72</v>
      </c>
      <c r="AE9" t="s">
        <v>73</v>
      </c>
      <c r="AF9" t="s">
        <v>74</v>
      </c>
      <c r="AG9" t="s">
        <v>166</v>
      </c>
      <c r="AH9" t="s">
        <v>167</v>
      </c>
      <c r="AI9" t="s">
        <v>168</v>
      </c>
      <c r="AJ9" t="s">
        <v>169</v>
      </c>
      <c r="AK9" t="s">
        <v>170</v>
      </c>
      <c r="AL9" t="s">
        <v>171</v>
      </c>
      <c r="AM9" t="s">
        <v>172</v>
      </c>
    </row>
    <row r="10" spans="2:39" x14ac:dyDescent="0.3">
      <c r="B10" s="19" t="s">
        <v>58</v>
      </c>
      <c r="C10" s="47">
        <v>44256</v>
      </c>
      <c r="D10" s="47">
        <v>44621</v>
      </c>
      <c r="E10" s="47">
        <v>44986</v>
      </c>
      <c r="F10" s="47">
        <v>45352</v>
      </c>
      <c r="G10" s="50">
        <v>45717</v>
      </c>
      <c r="H10" s="48" t="s">
        <v>163</v>
      </c>
      <c r="J10" s="218">
        <f>AVERAGE(C16:G16)</f>
        <v>0.12397008874268312</v>
      </c>
      <c r="K10" s="219"/>
      <c r="M10" s="218">
        <f>AVERAGE(C15:G15)</f>
        <v>0.19306687784389498</v>
      </c>
      <c r="N10" s="219"/>
      <c r="P10" s="31">
        <v>44256</v>
      </c>
      <c r="Q10" s="4"/>
      <c r="R10" s="4"/>
      <c r="S10" s="4"/>
      <c r="T10" s="4"/>
      <c r="U10" s="4">
        <v>0.2148393668155181</v>
      </c>
      <c r="V10" s="4">
        <v>0.14193743367534145</v>
      </c>
      <c r="W10" s="5">
        <v>23.663751127141566</v>
      </c>
      <c r="X10" s="5">
        <v>5.1630332431433779</v>
      </c>
      <c r="Y10" s="5">
        <v>29.594852635948527</v>
      </c>
      <c r="Z10" s="5">
        <v>1.0816469794873778</v>
      </c>
      <c r="AA10" s="5">
        <v>0.73990536887896385</v>
      </c>
      <c r="AB10" s="5">
        <v>12.709938803263826</v>
      </c>
      <c r="AC10" s="5">
        <v>83.865140766577923</v>
      </c>
      <c r="AD10" s="5">
        <v>10.62356147544298</v>
      </c>
      <c r="AE10" s="5">
        <v>29.28187066717193</v>
      </c>
      <c r="AF10" s="5">
        <v>4.352225449855327</v>
      </c>
    </row>
    <row r="11" spans="2:39" x14ac:dyDescent="0.3">
      <c r="B11" s="19" t="s">
        <v>59</v>
      </c>
      <c r="C11" s="7"/>
      <c r="D11" s="20">
        <f>('YOY GROWTH'!C4-'YOY GROWTH'!B4)/'YOY GROWTH'!B4</f>
        <v>7.6134998561221245E-2</v>
      </c>
      <c r="E11" s="20">
        <f>('YOY GROWTH'!D4-'YOY GROWTH'!C4)/'YOY GROWTH'!C4</f>
        <v>0.15310202274151713</v>
      </c>
      <c r="F11" s="20">
        <f>('YOY GROWTH'!E4-'YOY GROWTH'!D4)/'YOY GROWTH'!D4</f>
        <v>2.8754857964915368E-2</v>
      </c>
      <c r="G11" s="20">
        <f>('YOY GROWTH'!F4-'YOY GROWTH'!E4)/'YOY GROWTH'!E4</f>
        <v>6.997323079657003E-2</v>
      </c>
      <c r="H11" s="7"/>
      <c r="P11" s="31">
        <v>44621</v>
      </c>
      <c r="Q11" s="4">
        <v>7.6134998561221245E-2</v>
      </c>
      <c r="R11" s="4">
        <v>-0.14096295036425957</v>
      </c>
      <c r="S11" s="4">
        <v>-0.18008636017271962</v>
      </c>
      <c r="T11" s="4">
        <v>0.44327405158593014</v>
      </c>
      <c r="U11" s="4">
        <v>0.17149797754144314</v>
      </c>
      <c r="V11" s="4">
        <v>0.10793519643809617</v>
      </c>
      <c r="W11" s="5">
        <v>15.412017464827786</v>
      </c>
      <c r="X11" s="5">
        <v>3.8288682767585742</v>
      </c>
      <c r="Y11" s="5">
        <v>37.555832295558325</v>
      </c>
      <c r="Z11" s="5">
        <v>1.1871139283274696</v>
      </c>
      <c r="AA11" s="5">
        <v>0.89791181590486746</v>
      </c>
      <c r="AB11" s="5">
        <v>10.295363748299529</v>
      </c>
      <c r="AC11" s="5">
        <v>67.809344428843772</v>
      </c>
      <c r="AD11" s="5">
        <v>11.967508169519649</v>
      </c>
      <c r="AE11" s="5">
        <v>35.939948643632576</v>
      </c>
      <c r="AF11" s="5">
        <v>5.3827389583896572</v>
      </c>
      <c r="AG11">
        <v>-0.30703624733475482</v>
      </c>
      <c r="AH11">
        <v>1.1108545034642032</v>
      </c>
      <c r="AI11">
        <v>1.7841213202497771E-3</v>
      </c>
      <c r="AJ11">
        <v>-1.4848484848484849</v>
      </c>
    </row>
    <row r="12" spans="2:39" x14ac:dyDescent="0.3">
      <c r="B12" s="19" t="s">
        <v>60</v>
      </c>
      <c r="C12" s="7"/>
      <c r="D12" s="20">
        <f>('YOY GROWTH'!C10-'YOY GROWTH'!B10)/'YOY GROWTH'!B10</f>
        <v>-0.14096295036425957</v>
      </c>
      <c r="E12" s="20">
        <f>('YOY GROWTH'!D10-'YOY GROWTH'!C10)/'YOY GROWTH'!C10</f>
        <v>0.25674204113284327</v>
      </c>
      <c r="F12" s="20">
        <f>('YOY GROWTH'!E10-'YOY GROWTH'!D10)/'YOY GROWTH'!D10</f>
        <v>0.11069099406913019</v>
      </c>
      <c r="G12" s="20">
        <f>('YOY GROWTH'!F10-'YOY GROWTH'!E10)/'YOY GROWTH'!E10</f>
        <v>8.9302072682770125E-3</v>
      </c>
      <c r="H12" s="7"/>
      <c r="P12" s="31">
        <v>44986</v>
      </c>
      <c r="Q12" s="4">
        <v>0.15310202274151713</v>
      </c>
      <c r="R12" s="4">
        <v>0.25674204113284327</v>
      </c>
      <c r="S12" s="4">
        <v>0.27561364655013132</v>
      </c>
      <c r="T12" s="4">
        <v>0.39605878782648318</v>
      </c>
      <c r="U12" s="4">
        <v>0.1869120980580409</v>
      </c>
      <c r="V12" s="4">
        <v>0.11939290392041979</v>
      </c>
      <c r="W12" s="5">
        <v>16.681608515671194</v>
      </c>
      <c r="X12" s="5">
        <v>2.122467983214618</v>
      </c>
      <c r="Y12" s="5">
        <v>64.416770444167696</v>
      </c>
      <c r="Z12" s="5">
        <v>1.147985197368421</v>
      </c>
      <c r="AA12" s="5">
        <v>0.85936774380804948</v>
      </c>
      <c r="AB12" s="5">
        <v>7.5110322867205923</v>
      </c>
      <c r="AC12" s="5">
        <v>55.134929571590916</v>
      </c>
      <c r="AD12" s="5">
        <v>13.660518244137908</v>
      </c>
      <c r="AE12" s="5">
        <v>49.554782027117405</v>
      </c>
      <c r="AF12" s="5">
        <v>6.6201227214058447</v>
      </c>
      <c r="AG12">
        <v>0.94307692307692303</v>
      </c>
      <c r="AH12">
        <v>-2.6487964989059081</v>
      </c>
      <c r="AI12">
        <v>-0.54229741763134465</v>
      </c>
      <c r="AJ12">
        <v>-0.71875</v>
      </c>
    </row>
    <row r="13" spans="2:39" x14ac:dyDescent="0.3">
      <c r="B13" s="19" t="s">
        <v>61</v>
      </c>
      <c r="C13" s="7"/>
      <c r="D13" s="20">
        <f>('YOY GROWTH'!C16-'YOY GROWTH'!B16)/'YOY GROWTH'!B16</f>
        <v>-0.18008636017271962</v>
      </c>
      <c r="E13" s="20">
        <f>('YOY GROWTH'!D16-'YOY GROWTH'!C16)/'YOY GROWTH'!C16</f>
        <v>0.27561364655013132</v>
      </c>
      <c r="F13" s="20">
        <f>('YOY GROWTH'!E16-'YOY GROWTH'!D16)/'YOY GROWTH'!D16</f>
        <v>0.10592618236871795</v>
      </c>
      <c r="G13" s="20">
        <f>('YOY GROWTH'!F16-'YOY GROWTH'!E16)/'YOY GROWTH'!E16</f>
        <v>3.4144586531854919E-2</v>
      </c>
      <c r="H13" s="7"/>
      <c r="P13" s="31">
        <v>45352</v>
      </c>
      <c r="Q13" s="4">
        <v>2.8754857964915368E-2</v>
      </c>
      <c r="R13" s="4">
        <v>0.11069099406913019</v>
      </c>
      <c r="S13" s="4">
        <v>0.10592618236871795</v>
      </c>
      <c r="T13" s="4">
        <v>0.42483903917352478</v>
      </c>
      <c r="U13" s="4">
        <v>0.20179888569985469</v>
      </c>
      <c r="V13" s="4">
        <v>0.12777598547819924</v>
      </c>
      <c r="W13" s="5">
        <v>18.802195121951232</v>
      </c>
      <c r="X13" s="5">
        <v>3.2730689744252133</v>
      </c>
      <c r="Y13" s="5">
        <v>29.347862183478622</v>
      </c>
      <c r="Z13" s="5">
        <v>0.95540855637878319</v>
      </c>
      <c r="AA13" s="5">
        <v>0.62634723622564525</v>
      </c>
      <c r="AB13" s="5">
        <v>7.3221873770488832</v>
      </c>
      <c r="AC13" s="5">
        <v>49.420966853244252</v>
      </c>
      <c r="AD13" s="5">
        <v>12.262809965703589</v>
      </c>
      <c r="AE13" s="5">
        <v>50.520501310517275</v>
      </c>
      <c r="AF13" s="5">
        <v>7.3855293257185526</v>
      </c>
      <c r="AG13">
        <v>1.8606492478226443E-2</v>
      </c>
      <c r="AH13">
        <v>-1.3218314532183146</v>
      </c>
      <c r="AI13">
        <v>1.7616731517509727</v>
      </c>
      <c r="AJ13">
        <v>-25.333333333333332</v>
      </c>
    </row>
    <row r="14" spans="2:39" x14ac:dyDescent="0.3">
      <c r="B14" s="19" t="s">
        <v>62</v>
      </c>
      <c r="C14" s="7"/>
      <c r="D14" s="20">
        <f>'YOY GROWTH'!B8/'YOY GROWTH'!B4</f>
        <v>0.44327405158593014</v>
      </c>
      <c r="E14" s="20">
        <f>'YOY GROWTH'!C8/'YOY GROWTH'!C4</f>
        <v>0.39605878782648318</v>
      </c>
      <c r="F14" s="20">
        <f>'YOY GROWTH'!D8/'YOY GROWTH'!D4</f>
        <v>0.42483903917352478</v>
      </c>
      <c r="G14" s="20">
        <f>'YOY GROWTH'!E8/'YOY GROWTH'!E4</f>
        <v>0.44673500993185761</v>
      </c>
      <c r="H14" s="7"/>
      <c r="P14" s="31">
        <v>45717</v>
      </c>
      <c r="Q14" s="4">
        <v>6.997323079657003E-2</v>
      </c>
      <c r="R14" s="4">
        <v>8.9302072682770125E-3</v>
      </c>
      <c r="S14" s="4">
        <v>3.4144586531854919E-2</v>
      </c>
      <c r="T14" s="4">
        <v>0.44673500993185761</v>
      </c>
      <c r="U14" s="4">
        <v>0.19028606110461807</v>
      </c>
      <c r="V14" s="4">
        <v>0.12280892420135894</v>
      </c>
      <c r="W14" s="5">
        <v>22.340778097982685</v>
      </c>
      <c r="X14" s="5">
        <v>4.3126796708245427</v>
      </c>
      <c r="Y14" s="5">
        <v>31.039850560398506</v>
      </c>
      <c r="Z14" s="5">
        <v>1.2228416803393216</v>
      </c>
      <c r="AA14" s="5">
        <v>0.92084708668693827</v>
      </c>
      <c r="AB14" s="5">
        <v>5.3552006213850909</v>
      </c>
      <c r="AC14" s="5">
        <v>45.254761152578489</v>
      </c>
      <c r="AD14" s="5">
        <v>16.438693895500645</v>
      </c>
      <c r="AE14" s="5">
        <v>69.742566175613163</v>
      </c>
      <c r="AF14" s="5">
        <v>8.0654497052671612</v>
      </c>
      <c r="AG14">
        <v>-3.5755926933540613E-2</v>
      </c>
      <c r="AH14">
        <v>-0.8206185567010309</v>
      </c>
      <c r="AI14">
        <v>-2.7122226135963368E-2</v>
      </c>
      <c r="AJ14">
        <v>-1.8858447488584476</v>
      </c>
      <c r="AK14">
        <v>2151.1999999999998</v>
      </c>
      <c r="AL14">
        <v>82.4</v>
      </c>
      <c r="AM14">
        <v>-2223.4</v>
      </c>
    </row>
    <row r="15" spans="2:39" x14ac:dyDescent="0.3">
      <c r="B15" s="19" t="s">
        <v>63</v>
      </c>
      <c r="C15" s="20">
        <f>'YOY GROWTH'!B10/'YOY GROWTH'!B4</f>
        <v>0.2148393668155181</v>
      </c>
      <c r="D15" s="20">
        <f>'YOY GROWTH'!C10/'YOY GROWTH'!C4</f>
        <v>0.17149797754144314</v>
      </c>
      <c r="E15" s="20">
        <f>'YOY GROWTH'!D10/'YOY GROWTH'!D4</f>
        <v>0.1869120980580409</v>
      </c>
      <c r="F15" s="20">
        <f>'YOY GROWTH'!E10/'YOY GROWTH'!E4</f>
        <v>0.20179888569985469</v>
      </c>
      <c r="G15" s="20">
        <f>'YOY GROWTH'!F10/'YOY GROWTH'!F4</f>
        <v>0.19028606110461807</v>
      </c>
      <c r="H15" s="7"/>
      <c r="J15" s="216" t="s">
        <v>175</v>
      </c>
      <c r="K15" s="217"/>
      <c r="M15" s="216" t="s">
        <v>176</v>
      </c>
      <c r="N15" s="217"/>
    </row>
    <row r="16" spans="2:39" x14ac:dyDescent="0.3">
      <c r="B16" s="19" t="s">
        <v>64</v>
      </c>
      <c r="C16" s="20">
        <f>'YOY GROWTH'!B18/'YOY GROWTH'!B4</f>
        <v>0.14193743367534145</v>
      </c>
      <c r="D16" s="20">
        <f>'YOY GROWTH'!C18/'YOY GROWTH'!C4</f>
        <v>0.10793519643809617</v>
      </c>
      <c r="E16" s="20">
        <f>'YOY GROWTH'!D18/'YOY GROWTH'!D4</f>
        <v>0.11939290392041979</v>
      </c>
      <c r="F16" s="20">
        <f>'YOY GROWTH'!E18/'YOY GROWTH'!E4</f>
        <v>0.12777598547819924</v>
      </c>
      <c r="G16" s="20">
        <f>'YOY GROWTH'!F18/'YOY GROWTH'!F4</f>
        <v>0.12280892420135894</v>
      </c>
      <c r="H16" s="7"/>
      <c r="J16" s="218">
        <f>AVERAGE(D14:G14)</f>
        <v>0.42772672212944896</v>
      </c>
      <c r="K16" s="219"/>
      <c r="M16" s="221">
        <f>AVERAGE(C17:G17)</f>
        <v>19.380070065514893</v>
      </c>
      <c r="N16" s="222"/>
    </row>
    <row r="17" spans="2:37" x14ac:dyDescent="0.3">
      <c r="B17" s="19" t="s">
        <v>65</v>
      </c>
      <c r="C17" s="21">
        <f>'YOY GROWTH'!B12/'YOY GROWTH'!B13</f>
        <v>23.663751127141566</v>
      </c>
      <c r="D17" s="21">
        <f>'YOY GROWTH'!C12/'YOY GROWTH'!C13</f>
        <v>15.412017464827786</v>
      </c>
      <c r="E17" s="21">
        <f>'YOY GROWTH'!D12/'YOY GROWTH'!D13</f>
        <v>16.681608515671194</v>
      </c>
      <c r="F17" s="21">
        <f>'YOY GROWTH'!E12/'YOY GROWTH'!E13</f>
        <v>18.802195121951232</v>
      </c>
      <c r="G17" s="21">
        <f>'YOY GROWTH'!F12/'YOY GROWTH'!F13</f>
        <v>22.340778097982685</v>
      </c>
      <c r="H17" s="7"/>
      <c r="Q17" s="34" t="s">
        <v>132</v>
      </c>
      <c r="R17" t="s">
        <v>130</v>
      </c>
      <c r="S17" t="s">
        <v>135</v>
      </c>
      <c r="T17" t="s">
        <v>137</v>
      </c>
    </row>
    <row r="18" spans="2:37" x14ac:dyDescent="0.3">
      <c r="C18" s="5"/>
      <c r="D18" s="5"/>
      <c r="E18" s="5"/>
      <c r="F18" s="5"/>
      <c r="G18" s="5"/>
      <c r="Q18" s="35">
        <v>44256</v>
      </c>
    </row>
    <row r="19" spans="2:37" x14ac:dyDescent="0.3">
      <c r="Q19" s="35">
        <v>44621</v>
      </c>
      <c r="R19" s="4">
        <v>7.6134998561221245E-2</v>
      </c>
      <c r="S19" s="4">
        <v>-0.14096295036425957</v>
      </c>
      <c r="T19" s="4">
        <v>-0.18008636017271962</v>
      </c>
    </row>
    <row r="20" spans="2:37" x14ac:dyDescent="0.3">
      <c r="Q20" s="35">
        <v>44986</v>
      </c>
      <c r="R20" s="4">
        <v>0.15310202274151713</v>
      </c>
      <c r="S20" s="4">
        <v>0.25674204113284327</v>
      </c>
      <c r="T20" s="4">
        <v>0.27561364655013132</v>
      </c>
      <c r="Y20" s="34" t="s">
        <v>132</v>
      </c>
      <c r="Z20" t="s">
        <v>190</v>
      </c>
      <c r="AA20" t="s">
        <v>191</v>
      </c>
    </row>
    <row r="21" spans="2:37" ht="14.4" customHeight="1" x14ac:dyDescent="0.3">
      <c r="B21" s="223" t="s">
        <v>129</v>
      </c>
      <c r="C21" s="224"/>
      <c r="D21" s="224"/>
      <c r="E21" s="224"/>
      <c r="F21" s="224"/>
      <c r="G21" s="224"/>
      <c r="H21" s="225"/>
      <c r="Q21" s="35">
        <v>45352</v>
      </c>
      <c r="R21" s="4">
        <v>2.8754857964915368E-2</v>
      </c>
      <c r="S21" s="4">
        <v>0.11069099406913019</v>
      </c>
      <c r="T21" s="4">
        <v>0.10592618236871795</v>
      </c>
      <c r="Y21" s="35">
        <v>44256</v>
      </c>
    </row>
    <row r="22" spans="2:37" ht="14.4" customHeight="1" x14ac:dyDescent="0.3">
      <c r="B22" s="226"/>
      <c r="C22" s="227"/>
      <c r="D22" s="227"/>
      <c r="E22" s="227"/>
      <c r="F22" s="227"/>
      <c r="G22" s="227"/>
      <c r="H22" s="228"/>
      <c r="Q22" s="35">
        <v>45717</v>
      </c>
      <c r="R22" s="4">
        <v>6.997323079657003E-2</v>
      </c>
      <c r="S22" s="4">
        <v>8.9302072682770125E-3</v>
      </c>
      <c r="T22" s="4">
        <v>3.4144586531854919E-2</v>
      </c>
      <c r="Y22" s="35">
        <v>44621</v>
      </c>
      <c r="Z22">
        <v>-0.28000000000000003</v>
      </c>
      <c r="AA22">
        <v>-5.4510197258441979E-2</v>
      </c>
    </row>
    <row r="23" spans="2:37" x14ac:dyDescent="0.3">
      <c r="B23" s="19" t="s">
        <v>128</v>
      </c>
      <c r="C23" s="47">
        <v>44256</v>
      </c>
      <c r="D23" s="47">
        <v>44621</v>
      </c>
      <c r="E23" s="47">
        <v>44986</v>
      </c>
      <c r="F23" s="47">
        <v>45352</v>
      </c>
      <c r="G23" s="48" t="s">
        <v>2</v>
      </c>
      <c r="H23" s="48" t="s">
        <v>163</v>
      </c>
      <c r="Q23" s="35" t="s">
        <v>131</v>
      </c>
      <c r="R23" s="4">
        <v>0.3279651100642238</v>
      </c>
      <c r="S23" s="4">
        <v>0.23540029210599089</v>
      </c>
      <c r="T23" s="4">
        <v>0.23559805527798458</v>
      </c>
      <c r="Y23" s="35">
        <v>44986</v>
      </c>
      <c r="Z23">
        <v>0.39</v>
      </c>
      <c r="AA23">
        <v>1.1949391080496188</v>
      </c>
      <c r="AB23" s="34" t="s">
        <v>132</v>
      </c>
      <c r="AC23" t="s">
        <v>187</v>
      </c>
    </row>
    <row r="24" spans="2:37" x14ac:dyDescent="0.3">
      <c r="B24" s="19" t="s">
        <v>66</v>
      </c>
      <c r="C24" s="21">
        <v>5.1630332431433779</v>
      </c>
      <c r="D24" s="21">
        <v>3.8288682767585742</v>
      </c>
      <c r="E24" s="21">
        <v>2.122467983214618</v>
      </c>
      <c r="F24" s="21">
        <v>3.2730689744252133</v>
      </c>
      <c r="G24" s="21">
        <v>4.3126796708245427</v>
      </c>
      <c r="H24" s="7"/>
      <c r="Y24" s="35">
        <v>45352</v>
      </c>
      <c r="Z24">
        <v>0.12</v>
      </c>
      <c r="AA24">
        <v>-0.41698672509343981</v>
      </c>
      <c r="AB24" s="35">
        <v>44256</v>
      </c>
      <c r="AC24">
        <v>29.594852635948527</v>
      </c>
    </row>
    <row r="25" spans="2:37" x14ac:dyDescent="0.3">
      <c r="B25" s="19" t="s">
        <v>186</v>
      </c>
      <c r="C25" s="21"/>
      <c r="D25" s="51">
        <f>('BALANCE C'!C12-'BALANCE C'!B12)/'BALANCE C'!B12</f>
        <v>-0.27505886189839984</v>
      </c>
      <c r="E25" s="51">
        <f>('BALANCE C'!D12-'BALANCE C'!C12)/'BALANCE C'!C12</f>
        <v>0.38522736690068293</v>
      </c>
      <c r="F25" s="51">
        <f>('BALANCE C'!E12-'BALANCE C'!D12)/'BALANCE C'!D12</f>
        <v>0.11601969129788217</v>
      </c>
      <c r="G25" s="51">
        <f>('BALANCE C'!F12-'BALANCE C'!E12)/'BALANCE C'!E12</f>
        <v>0.10573258488345683</v>
      </c>
      <c r="H25" s="7"/>
      <c r="Y25" s="35">
        <v>45717</v>
      </c>
      <c r="Z25">
        <v>0.11</v>
      </c>
      <c r="AA25">
        <v>-0.21197718631178702</v>
      </c>
      <c r="AB25" s="35">
        <v>44621</v>
      </c>
      <c r="AC25">
        <v>37.555832295558325</v>
      </c>
    </row>
    <row r="26" spans="2:37" x14ac:dyDescent="0.3">
      <c r="B26" s="19" t="s">
        <v>67</v>
      </c>
      <c r="C26" s="21">
        <v>29.594852635948527</v>
      </c>
      <c r="D26" s="21">
        <v>37.555832295558325</v>
      </c>
      <c r="E26" s="21">
        <v>64.416770444167696</v>
      </c>
      <c r="F26" s="21">
        <v>29.347862183478622</v>
      </c>
      <c r="G26" s="21">
        <v>31.039850560398506</v>
      </c>
      <c r="H26" s="7"/>
      <c r="Q26" s="61" t="s">
        <v>134</v>
      </c>
      <c r="R26" t="s">
        <v>186</v>
      </c>
      <c r="S26" t="s">
        <v>189</v>
      </c>
      <c r="Y26" s="35" t="s">
        <v>131</v>
      </c>
      <c r="Z26">
        <v>0.33999999999999997</v>
      </c>
      <c r="AA26">
        <v>0.51146499938594991</v>
      </c>
      <c r="AB26" s="35">
        <v>44986</v>
      </c>
      <c r="AC26">
        <v>64.416770444167696</v>
      </c>
    </row>
    <row r="27" spans="2:37" x14ac:dyDescent="0.3">
      <c r="B27" s="19" t="s">
        <v>68</v>
      </c>
      <c r="C27" s="21">
        <v>1.0816469794873778</v>
      </c>
      <c r="D27" s="21">
        <v>1.1871139283274696</v>
      </c>
      <c r="E27" s="21">
        <v>1.147985197368421</v>
      </c>
      <c r="F27" s="21">
        <v>0.95540855637878319</v>
      </c>
      <c r="G27" s="21">
        <v>1.2228416803393216</v>
      </c>
      <c r="H27" s="7"/>
      <c r="Q27" s="31">
        <v>44256</v>
      </c>
      <c r="T27" s="34" t="s">
        <v>132</v>
      </c>
      <c r="U27" t="s">
        <v>142</v>
      </c>
      <c r="V27" s="34" t="s">
        <v>132</v>
      </c>
      <c r="W27" t="s">
        <v>183</v>
      </c>
      <c r="X27" t="s">
        <v>184</v>
      </c>
      <c r="AB27" s="35">
        <v>45352</v>
      </c>
      <c r="AC27">
        <v>29.347862183478622</v>
      </c>
    </row>
    <row r="28" spans="2:37" x14ac:dyDescent="0.3">
      <c r="B28" s="19" t="s">
        <v>69</v>
      </c>
      <c r="C28" s="21">
        <v>0.73990536887896385</v>
      </c>
      <c r="D28" s="21">
        <v>0.89791181590486746</v>
      </c>
      <c r="E28" s="21">
        <v>0.85936774380804948</v>
      </c>
      <c r="F28" s="21">
        <v>0.62634723622564525</v>
      </c>
      <c r="G28" s="21">
        <v>0.92084708668693827</v>
      </c>
      <c r="H28" s="7"/>
      <c r="Q28" s="31">
        <v>44621</v>
      </c>
      <c r="R28" s="60">
        <v>-0.28000000000000003</v>
      </c>
      <c r="S28" s="59">
        <v>-5.4510197258441979E-2</v>
      </c>
      <c r="T28" s="35">
        <v>44256</v>
      </c>
      <c r="U28" s="4">
        <v>0.2148393668155181</v>
      </c>
      <c r="V28" s="35">
        <v>44256</v>
      </c>
      <c r="W28">
        <v>1.0816469794873778</v>
      </c>
      <c r="X28">
        <v>0.73990536887896385</v>
      </c>
      <c r="AB28" s="35">
        <v>45717</v>
      </c>
      <c r="AC28">
        <v>31.039850560398506</v>
      </c>
    </row>
    <row r="29" spans="2:37" x14ac:dyDescent="0.3">
      <c r="B29" s="19" t="s">
        <v>70</v>
      </c>
      <c r="C29" s="21">
        <v>12.709938803263826</v>
      </c>
      <c r="D29" s="21">
        <v>10.295363748299529</v>
      </c>
      <c r="E29" s="21">
        <v>7.5110322867205923</v>
      </c>
      <c r="F29" s="21">
        <v>7.3221873770488832</v>
      </c>
      <c r="G29" s="21">
        <v>5.3552006213850909</v>
      </c>
      <c r="H29" s="7"/>
      <c r="Q29" s="31">
        <v>44986</v>
      </c>
      <c r="R29" s="60">
        <v>0.39</v>
      </c>
      <c r="S29" s="59">
        <v>1.1949391080496188</v>
      </c>
      <c r="T29" s="35">
        <v>44621</v>
      </c>
      <c r="U29" s="4">
        <v>0.17149797754144314</v>
      </c>
      <c r="V29" s="35">
        <v>44621</v>
      </c>
      <c r="W29">
        <v>1.1871139283274696</v>
      </c>
      <c r="X29">
        <v>0.89791181590486746</v>
      </c>
      <c r="AB29" s="35" t="s">
        <v>131</v>
      </c>
      <c r="AC29">
        <v>191.95516811955167</v>
      </c>
    </row>
    <row r="30" spans="2:37" x14ac:dyDescent="0.3">
      <c r="B30" s="19" t="s">
        <v>71</v>
      </c>
      <c r="C30" s="21">
        <v>83.865140766577923</v>
      </c>
      <c r="D30" s="21">
        <v>67.809344428843772</v>
      </c>
      <c r="E30" s="21">
        <v>55.134929571590916</v>
      </c>
      <c r="F30" s="21">
        <v>49.420966853244252</v>
      </c>
      <c r="G30" s="21">
        <v>45.254761152578489</v>
      </c>
      <c r="H30" s="7"/>
      <c r="Q30" s="31">
        <v>45352</v>
      </c>
      <c r="R30" s="60">
        <v>0.12</v>
      </c>
      <c r="S30" s="59">
        <v>-0.41698672509343981</v>
      </c>
      <c r="T30" s="35">
        <v>44986</v>
      </c>
      <c r="U30" s="4">
        <v>0.1869120980580409</v>
      </c>
      <c r="V30" s="35">
        <v>44986</v>
      </c>
      <c r="W30">
        <v>1.147985197368421</v>
      </c>
      <c r="X30">
        <v>0.85936774380804948</v>
      </c>
    </row>
    <row r="31" spans="2:37" x14ac:dyDescent="0.3">
      <c r="B31" s="19" t="s">
        <v>72</v>
      </c>
      <c r="C31" s="21">
        <v>10.62356147544298</v>
      </c>
      <c r="D31" s="21">
        <v>11.967508169519649</v>
      </c>
      <c r="E31" s="21">
        <v>13.660518244137908</v>
      </c>
      <c r="F31" s="21">
        <v>12.262809965703589</v>
      </c>
      <c r="G31" s="21">
        <v>16.438693895500645</v>
      </c>
      <c r="H31" s="7"/>
      <c r="Q31" s="31">
        <v>45717</v>
      </c>
      <c r="R31" s="60">
        <v>0.11</v>
      </c>
      <c r="S31" s="59">
        <v>-0.21197718631178702</v>
      </c>
      <c r="T31" s="35">
        <v>45352</v>
      </c>
      <c r="U31" s="4">
        <v>0.20179888569985469</v>
      </c>
      <c r="V31" s="35">
        <v>45352</v>
      </c>
      <c r="W31">
        <v>0.95540855637878319</v>
      </c>
      <c r="X31">
        <v>0.62634723622564525</v>
      </c>
      <c r="AI31" s="34" t="s">
        <v>132</v>
      </c>
      <c r="AJ31" t="s">
        <v>192</v>
      </c>
      <c r="AK31" t="s">
        <v>193</v>
      </c>
    </row>
    <row r="32" spans="2:37" x14ac:dyDescent="0.3">
      <c r="B32" s="19" t="s">
        <v>73</v>
      </c>
      <c r="C32" s="21">
        <v>29.28187066717193</v>
      </c>
      <c r="D32" s="21">
        <v>35.939948643632576</v>
      </c>
      <c r="E32" s="21">
        <v>49.554782027117405</v>
      </c>
      <c r="F32" s="21">
        <v>50.520501310517275</v>
      </c>
      <c r="G32" s="21">
        <v>69.742566175613163</v>
      </c>
      <c r="H32" s="7"/>
      <c r="T32" s="35">
        <v>45717</v>
      </c>
      <c r="U32" s="4">
        <v>0.19028606110461807</v>
      </c>
      <c r="V32" s="35">
        <v>45717</v>
      </c>
      <c r="W32">
        <v>1.2228416803393216</v>
      </c>
      <c r="X32">
        <v>0.92084708668693827</v>
      </c>
      <c r="AI32" s="35">
        <v>44256</v>
      </c>
      <c r="AJ32">
        <v>12.709938803263826</v>
      </c>
      <c r="AK32">
        <v>83.865140766577923</v>
      </c>
    </row>
    <row r="33" spans="2:37" x14ac:dyDescent="0.3">
      <c r="B33" s="19" t="s">
        <v>74</v>
      </c>
      <c r="C33" s="21">
        <v>4.352225449855327</v>
      </c>
      <c r="D33" s="21">
        <v>5.3827389583896572</v>
      </c>
      <c r="E33" s="21">
        <v>6.6201227214058447</v>
      </c>
      <c r="F33" s="21">
        <v>7.3855293257185526</v>
      </c>
      <c r="G33" s="21">
        <v>8.0654497052671612</v>
      </c>
      <c r="H33" s="7"/>
      <c r="T33" s="35" t="s">
        <v>131</v>
      </c>
      <c r="U33" s="4">
        <v>0.9653343892194749</v>
      </c>
      <c r="V33" s="35" t="s">
        <v>131</v>
      </c>
      <c r="W33">
        <v>5.5949963419013731</v>
      </c>
      <c r="X33">
        <v>4.0443792515044645</v>
      </c>
      <c r="AI33" s="35">
        <v>44621</v>
      </c>
      <c r="AJ33">
        <v>10.295363748299529</v>
      </c>
      <c r="AK33">
        <v>67.809344428843772</v>
      </c>
    </row>
    <row r="34" spans="2:37" ht="39.6" customHeight="1" x14ac:dyDescent="0.3">
      <c r="AI34" s="35">
        <v>44986</v>
      </c>
      <c r="AJ34">
        <v>7.5110322867205923</v>
      </c>
      <c r="AK34">
        <v>55.134929571590916</v>
      </c>
    </row>
    <row r="35" spans="2:37" ht="31.2" x14ac:dyDescent="0.6">
      <c r="B35" s="229" t="s">
        <v>164</v>
      </c>
      <c r="C35" s="229"/>
      <c r="D35" s="229"/>
      <c r="E35" s="229"/>
      <c r="F35" s="229"/>
      <c r="G35" s="229"/>
      <c r="H35" s="229"/>
      <c r="AI35" s="35">
        <v>45352</v>
      </c>
      <c r="AJ35">
        <v>7.3221873770488832</v>
      </c>
      <c r="AK35">
        <v>49.420966853244252</v>
      </c>
    </row>
    <row r="36" spans="2:37" x14ac:dyDescent="0.3">
      <c r="B36" s="49" t="s">
        <v>128</v>
      </c>
      <c r="C36" s="47">
        <v>44256</v>
      </c>
      <c r="D36" s="47">
        <v>44621</v>
      </c>
      <c r="E36" s="47">
        <v>44986</v>
      </c>
      <c r="F36" s="47">
        <v>45352</v>
      </c>
      <c r="G36" s="48" t="s">
        <v>2</v>
      </c>
      <c r="H36" s="48" t="s">
        <v>163</v>
      </c>
      <c r="AI36" s="35">
        <v>45717</v>
      </c>
      <c r="AJ36">
        <v>5.3552006213850909</v>
      </c>
      <c r="AK36">
        <v>45.254761152578489</v>
      </c>
    </row>
    <row r="37" spans="2:37" x14ac:dyDescent="0.3">
      <c r="B37" s="19" t="str">
        <f>CFS!A3</f>
        <v>Cash from Operating Activity </v>
      </c>
      <c r="C37" s="7">
        <f>CFS!B3</f>
        <v>1876</v>
      </c>
      <c r="D37" s="7">
        <f>CFS!C3</f>
        <v>1300</v>
      </c>
      <c r="E37" s="7">
        <f>CFS!D3</f>
        <v>2526</v>
      </c>
      <c r="F37" s="7">
        <f>CFS!E3</f>
        <v>2573</v>
      </c>
      <c r="G37" s="7">
        <f>CFS!F3</f>
        <v>2481</v>
      </c>
      <c r="H37" s="7"/>
      <c r="AI37" s="35" t="s">
        <v>131</v>
      </c>
      <c r="AJ37">
        <v>43.193722836717924</v>
      </c>
      <c r="AK37">
        <v>301.48514277283539</v>
      </c>
    </row>
    <row r="38" spans="2:37" x14ac:dyDescent="0.3">
      <c r="B38" s="19" t="str">
        <f>CFS!A4</f>
        <v>Cash from Investing Activity </v>
      </c>
      <c r="C38" s="7">
        <f>CFS!B4</f>
        <v>433</v>
      </c>
      <c r="D38" s="7">
        <f>CFS!C4</f>
        <v>914</v>
      </c>
      <c r="E38" s="7">
        <f>CFS!D4</f>
        <v>-1507</v>
      </c>
      <c r="F38" s="7">
        <f>CFS!E4</f>
        <v>485</v>
      </c>
      <c r="G38" s="7">
        <f>CFS!F4</f>
        <v>87</v>
      </c>
      <c r="H38" s="7"/>
    </row>
    <row r="39" spans="2:37" x14ac:dyDescent="0.3">
      <c r="B39" s="19" t="str">
        <f>CFS!A5</f>
        <v>Cash from Financing Activity </v>
      </c>
      <c r="C39" s="7">
        <f>CFS!B5</f>
        <v>-2242</v>
      </c>
      <c r="D39" s="7">
        <f>CFS!C5</f>
        <v>-2246</v>
      </c>
      <c r="E39" s="7">
        <f>CFS!D5</f>
        <v>-1028</v>
      </c>
      <c r="F39" s="7">
        <f>CFS!E5</f>
        <v>-2839</v>
      </c>
      <c r="G39" s="7">
        <f>CFS!F5</f>
        <v>-2762</v>
      </c>
      <c r="H39" s="7"/>
    </row>
    <row r="40" spans="2:37" x14ac:dyDescent="0.3">
      <c r="B40" s="19" t="str">
        <f>CFS!A6</f>
        <v>Net Cash Flow</v>
      </c>
      <c r="C40" s="7">
        <f>CFS!B6</f>
        <v>66</v>
      </c>
      <c r="D40" s="7">
        <f>CFS!C6</f>
        <v>-32</v>
      </c>
      <c r="E40" s="7">
        <f>CFS!D6</f>
        <v>-9</v>
      </c>
      <c r="F40" s="7">
        <f>CFS!E6</f>
        <v>219</v>
      </c>
      <c r="G40" s="7">
        <f>CFS!F6</f>
        <v>-194</v>
      </c>
      <c r="H40" s="7"/>
    </row>
    <row r="44" spans="2:37" ht="31.2" x14ac:dyDescent="0.6">
      <c r="B44" s="220" t="s">
        <v>165</v>
      </c>
      <c r="C44" s="220"/>
      <c r="D44" s="220"/>
      <c r="E44" s="220"/>
      <c r="F44" s="220"/>
      <c r="G44" s="220"/>
      <c r="H44" s="220"/>
    </row>
    <row r="45" spans="2:37" x14ac:dyDescent="0.3">
      <c r="B45" s="19" t="s">
        <v>128</v>
      </c>
      <c r="C45" s="47">
        <v>44256</v>
      </c>
      <c r="D45" s="47">
        <v>44621</v>
      </c>
      <c r="E45" s="47">
        <v>44986</v>
      </c>
      <c r="F45" s="47">
        <v>45352</v>
      </c>
      <c r="G45" s="48" t="s">
        <v>2</v>
      </c>
      <c r="H45" s="48" t="s">
        <v>163</v>
      </c>
    </row>
    <row r="46" spans="2:37" x14ac:dyDescent="0.3">
      <c r="B46" s="19" t="s">
        <v>166</v>
      </c>
      <c r="C46" s="36"/>
      <c r="D46" s="36">
        <f>(D37-C37)/C37</f>
        <v>-0.30703624733475482</v>
      </c>
      <c r="E46" s="36">
        <f t="shared" ref="E46:G49" si="0">(E37-D37)/D37</f>
        <v>0.94307692307692303</v>
      </c>
      <c r="F46" s="36">
        <f t="shared" si="0"/>
        <v>1.8606492478226443E-2</v>
      </c>
      <c r="G46" s="36">
        <f t="shared" si="0"/>
        <v>-3.5755926933540613E-2</v>
      </c>
      <c r="H46" s="7"/>
    </row>
    <row r="47" spans="2:37" x14ac:dyDescent="0.3">
      <c r="B47" s="19" t="s">
        <v>167</v>
      </c>
      <c r="C47" s="36"/>
      <c r="D47" s="36">
        <f>(D38-C38)/C38</f>
        <v>1.1108545034642032</v>
      </c>
      <c r="E47" s="36">
        <f t="shared" si="0"/>
        <v>-2.6487964989059081</v>
      </c>
      <c r="F47" s="36">
        <f t="shared" si="0"/>
        <v>-1.3218314532183146</v>
      </c>
      <c r="G47" s="36">
        <f t="shared" si="0"/>
        <v>-0.8206185567010309</v>
      </c>
      <c r="H47" s="7"/>
    </row>
    <row r="48" spans="2:37" x14ac:dyDescent="0.3">
      <c r="B48" s="19" t="s">
        <v>168</v>
      </c>
      <c r="C48" s="36"/>
      <c r="D48" s="36">
        <f>(D39-C39)/C39</f>
        <v>1.7841213202497771E-3</v>
      </c>
      <c r="E48" s="36">
        <f t="shared" si="0"/>
        <v>-0.54229741763134465</v>
      </c>
      <c r="F48" s="36">
        <f t="shared" si="0"/>
        <v>1.7616731517509727</v>
      </c>
      <c r="G48" s="36">
        <f t="shared" si="0"/>
        <v>-2.7122226135963368E-2</v>
      </c>
      <c r="H48" s="7"/>
    </row>
    <row r="49" spans="2:8" x14ac:dyDescent="0.3">
      <c r="B49" s="19" t="s">
        <v>169</v>
      </c>
      <c r="C49" s="55"/>
      <c r="D49" s="36">
        <f>(D40-C40)/C40</f>
        <v>-1.4848484848484849</v>
      </c>
      <c r="E49" s="36">
        <f t="shared" si="0"/>
        <v>-0.71875</v>
      </c>
      <c r="F49" s="36">
        <f t="shared" si="0"/>
        <v>-25.333333333333332</v>
      </c>
      <c r="G49" s="36">
        <f t="shared" si="0"/>
        <v>-1.8858447488584476</v>
      </c>
      <c r="H49" s="7"/>
    </row>
    <row r="50" spans="2:8" x14ac:dyDescent="0.3">
      <c r="B50" s="19" t="s">
        <v>170</v>
      </c>
      <c r="G50" s="53">
        <f>AVERAGE(C37:G37)</f>
        <v>2151.1999999999998</v>
      </c>
      <c r="H50" s="7"/>
    </row>
    <row r="51" spans="2:8" x14ac:dyDescent="0.3">
      <c r="B51" s="54" t="s">
        <v>171</v>
      </c>
      <c r="C51" s="56"/>
      <c r="D51" s="57"/>
      <c r="E51" s="57"/>
      <c r="F51" s="58"/>
      <c r="G51" s="53">
        <f>AVERAGE(C38:G38)</f>
        <v>82.4</v>
      </c>
      <c r="H51" s="7"/>
    </row>
    <row r="52" spans="2:8" x14ac:dyDescent="0.3">
      <c r="B52" s="19" t="s">
        <v>172</v>
      </c>
      <c r="C52" s="56"/>
      <c r="D52" s="57"/>
      <c r="E52" s="57"/>
      <c r="F52" s="58"/>
      <c r="G52" s="53">
        <f>AVERAGE(C39:G39)</f>
        <v>-2223.4</v>
      </c>
      <c r="H52" s="7"/>
    </row>
  </sheetData>
  <mergeCells count="13">
    <mergeCell ref="B44:H44"/>
    <mergeCell ref="J15:K15"/>
    <mergeCell ref="M15:N15"/>
    <mergeCell ref="J16:K16"/>
    <mergeCell ref="M16:N16"/>
    <mergeCell ref="B21:H22"/>
    <mergeCell ref="B35:H35"/>
    <mergeCell ref="B1:H6"/>
    <mergeCell ref="B9:H9"/>
    <mergeCell ref="J9:K9"/>
    <mergeCell ref="M9:N9"/>
    <mergeCell ref="J10:K10"/>
    <mergeCell ref="M10:N10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8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'one pager (2)'!C25:G25</xm:f>
              <xm:sqref>H25</xm:sqref>
            </x14:sparkline>
          </x14:sparklines>
        </x14:sparklineGroup>
        <x14:sparklineGroup displayEmptyCellsAs="gap" xr2:uid="{00000000-0003-0000-08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'one pager (2)'!C24:G24</xm:f>
              <xm:sqref>H24</xm:sqref>
            </x14:sparkline>
            <x14:sparkline>
              <xm:f>'one pager (2)'!C26:G26</xm:f>
              <xm:sqref>H26</xm:sqref>
            </x14:sparkline>
            <x14:sparkline>
              <xm:f>'one pager (2)'!C27:G27</xm:f>
              <xm:sqref>H27</xm:sqref>
            </x14:sparkline>
            <x14:sparkline>
              <xm:f>'one pager (2)'!C28:G28</xm:f>
              <xm:sqref>H28</xm:sqref>
            </x14:sparkline>
            <x14:sparkline>
              <xm:f>'one pager (2)'!C29:G29</xm:f>
              <xm:sqref>H29</xm:sqref>
            </x14:sparkline>
            <x14:sparkline>
              <xm:f>'one pager (2)'!C30:G30</xm:f>
              <xm:sqref>H30</xm:sqref>
            </x14:sparkline>
            <x14:sparkline>
              <xm:f>'one pager (2)'!C31:G31</xm:f>
              <xm:sqref>H31</xm:sqref>
            </x14:sparkline>
            <x14:sparkline>
              <xm:f>'one pager (2)'!C32:G32</xm:f>
              <xm:sqref>H32</xm:sqref>
            </x14:sparkline>
            <x14:sparkline>
              <xm:f>'one pager (2)'!C33:G33</xm:f>
              <xm:sqref>H33</xm:sqref>
            </x14:sparkline>
          </x14:sparklines>
        </x14:sparklineGroup>
        <x14:sparklineGroup type="column" displayEmptyCellsAs="gap" negative="1" xr2:uid="{00000000-0003-0000-08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'one pager (2)'!C37:G37</xm:f>
              <xm:sqref>H37</xm:sqref>
            </x14:sparkline>
            <x14:sparkline>
              <xm:f>'one pager (2)'!C38:G38</xm:f>
              <xm:sqref>H38</xm:sqref>
            </x14:sparkline>
            <x14:sparkline>
              <xm:f>'one pager (2)'!C39:G39</xm:f>
              <xm:sqref>H39</xm:sqref>
            </x14:sparkline>
            <x14:sparkline>
              <xm:f>'one pager (2)'!C40:G40</xm:f>
              <xm:sqref>H40</xm:sqref>
            </x14:sparkline>
          </x14:sparklines>
        </x14:sparklineGroup>
        <x14:sparklineGroup type="column" displayEmptyCellsAs="gap" xr2:uid="{00000000-0003-0000-08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'one pager (2)'!D11:G11</xm:f>
              <xm:sqref>H11</xm:sqref>
            </x14:sparkline>
            <x14:sparkline>
              <xm:f>'one pager (2)'!D12:G12</xm:f>
              <xm:sqref>H12</xm:sqref>
            </x14:sparkline>
            <x14:sparkline>
              <xm:f>'one pager (2)'!D13:G13</xm:f>
              <xm:sqref>H13</xm:sqref>
            </x14:sparkline>
            <x14:sparkline>
              <xm:f>'one pager (2)'!D14:G14</xm:f>
              <xm:sqref>H14</xm:sqref>
            </x14:sparkline>
            <x14:sparkline>
              <xm:f>'one pager (2)'!D15:G15</xm:f>
              <xm:sqref>H15</xm:sqref>
            </x14:sparkline>
            <x14:sparkline>
              <xm:f>'one pager (2)'!D16:G16</xm:f>
              <xm:sqref>H16</xm:sqref>
            </x14:sparkline>
            <x14:sparkline>
              <xm:f>'one pager (2)'!D17:G17</xm:f>
              <xm:sqref>H17</xm:sqref>
            </x14:sparkline>
            <x14:sparkline>
              <xm:f>'one pager (2)'!D18:G18</xm:f>
              <xm:sqref>H18</xm:sqref>
            </x14:sparkline>
          </x14:sparklines>
        </x14:sparklineGroup>
        <x14:sparklineGroup type="column" displayEmptyCellsAs="gap" xr2:uid="{00000000-0003-0000-0800-000004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'one pager (2)'!C46:G46</xm:f>
              <xm:sqref>H46</xm:sqref>
            </x14:sparkline>
            <x14:sparkline>
              <xm:f>'one pager (2)'!C47:G47</xm:f>
              <xm:sqref>H47</xm:sqref>
            </x14:sparkline>
            <x14:sparkline>
              <xm:f>'one pager (2)'!C48:G48</xm:f>
              <xm:sqref>H48</xm:sqref>
            </x14:sparkline>
            <x14:sparkline>
              <xm:f>'one pager (2)'!C49:G49</xm:f>
              <xm:sqref>H49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54"/>
  <sheetViews>
    <sheetView showGridLines="0" tabSelected="1" workbookViewId="0">
      <selection activeCell="D48" sqref="D48"/>
    </sheetView>
  </sheetViews>
  <sheetFormatPr defaultRowHeight="14.4" x14ac:dyDescent="0.3"/>
  <cols>
    <col min="1" max="1" width="36.33203125" customWidth="1"/>
    <col min="2" max="2" width="25" customWidth="1"/>
    <col min="3" max="3" width="14.21875" customWidth="1"/>
    <col min="4" max="4" width="14.33203125" customWidth="1"/>
    <col min="5" max="5" width="14.21875" customWidth="1"/>
    <col min="6" max="6" width="14.33203125" customWidth="1"/>
    <col min="7" max="7" width="16" customWidth="1"/>
    <col min="9" max="9" width="7.33203125" customWidth="1"/>
    <col min="11" max="11" width="11.5546875" customWidth="1"/>
    <col min="12" max="12" width="6.33203125" customWidth="1"/>
    <col min="14" max="14" width="14.109375" customWidth="1"/>
  </cols>
  <sheetData>
    <row r="1" spans="2:14" ht="14.4" customHeight="1" x14ac:dyDescent="0.3">
      <c r="B1" s="236" t="s">
        <v>148</v>
      </c>
      <c r="C1" s="237"/>
      <c r="D1" s="237"/>
      <c r="E1" s="237"/>
      <c r="F1" s="237"/>
      <c r="G1" s="237"/>
      <c r="H1" s="238"/>
    </row>
    <row r="2" spans="2:14" ht="14.4" customHeight="1" x14ac:dyDescent="0.3">
      <c r="B2" s="239"/>
      <c r="C2" s="240"/>
      <c r="D2" s="240"/>
      <c r="E2" s="240"/>
      <c r="F2" s="240"/>
      <c r="G2" s="240"/>
      <c r="H2" s="241"/>
    </row>
    <row r="3" spans="2:14" ht="14.4" customHeight="1" x14ac:dyDescent="0.3">
      <c r="B3" s="239"/>
      <c r="C3" s="240"/>
      <c r="D3" s="240"/>
      <c r="E3" s="240"/>
      <c r="F3" s="240"/>
      <c r="G3" s="240"/>
      <c r="H3" s="241"/>
    </row>
    <row r="4" spans="2:14" ht="14.4" customHeight="1" x14ac:dyDescent="0.3">
      <c r="B4" s="239"/>
      <c r="C4" s="240"/>
      <c r="D4" s="240"/>
      <c r="E4" s="240"/>
      <c r="F4" s="240"/>
      <c r="G4" s="240"/>
      <c r="H4" s="241"/>
    </row>
    <row r="5" spans="2:14" ht="14.4" customHeight="1" x14ac:dyDescent="0.3">
      <c r="B5" s="239"/>
      <c r="C5" s="240"/>
      <c r="D5" s="240"/>
      <c r="E5" s="240"/>
      <c r="F5" s="240"/>
      <c r="G5" s="240"/>
      <c r="H5" s="241"/>
    </row>
    <row r="6" spans="2:14" ht="15" customHeight="1" thickBot="1" x14ac:dyDescent="0.35">
      <c r="B6" s="242"/>
      <c r="C6" s="243"/>
      <c r="D6" s="243"/>
      <c r="E6" s="243"/>
      <c r="F6" s="243"/>
      <c r="G6" s="243"/>
      <c r="H6" s="244"/>
    </row>
    <row r="8" spans="2:14" ht="15" thickBot="1" x14ac:dyDescent="0.35"/>
    <row r="9" spans="2:14" ht="31.8" thickBot="1" x14ac:dyDescent="0.35">
      <c r="B9" s="230" t="s">
        <v>57</v>
      </c>
      <c r="C9" s="231"/>
      <c r="D9" s="231"/>
      <c r="E9" s="231"/>
      <c r="F9" s="231"/>
      <c r="G9" s="231"/>
      <c r="H9" s="232"/>
      <c r="J9" s="250" t="s">
        <v>173</v>
      </c>
      <c r="K9" s="251"/>
      <c r="M9" s="250" t="s">
        <v>174</v>
      </c>
      <c r="N9" s="251"/>
    </row>
    <row r="10" spans="2:14" ht="15" thickBot="1" x14ac:dyDescent="0.35">
      <c r="B10" s="83" t="s">
        <v>58</v>
      </c>
      <c r="C10" s="86">
        <v>44256</v>
      </c>
      <c r="D10" s="86">
        <v>44621</v>
      </c>
      <c r="E10" s="86">
        <v>44986</v>
      </c>
      <c r="F10" s="86">
        <v>45352</v>
      </c>
      <c r="G10" s="87">
        <v>45717</v>
      </c>
      <c r="H10" s="88" t="s">
        <v>163</v>
      </c>
      <c r="J10" s="248">
        <f>AVERAGE(C16:G16)</f>
        <v>0.12397008874268312</v>
      </c>
      <c r="K10" s="249"/>
      <c r="M10" s="248">
        <f>AVERAGE(C15:G15)</f>
        <v>0.19306687784389498</v>
      </c>
      <c r="N10" s="249"/>
    </row>
    <row r="11" spans="2:14" x14ac:dyDescent="0.3">
      <c r="B11" s="77" t="s">
        <v>197</v>
      </c>
      <c r="C11" s="84"/>
      <c r="D11" s="85">
        <f>('YOY GROWTH'!C4-'YOY GROWTH'!B4)/'YOY GROWTH'!B4</f>
        <v>7.6134998561221245E-2</v>
      </c>
      <c r="E11" s="85">
        <f>('YOY GROWTH'!D4-'YOY GROWTH'!C4)/'YOY GROWTH'!C4</f>
        <v>0.15310202274151713</v>
      </c>
      <c r="F11" s="85">
        <f>('YOY GROWTH'!E4-'YOY GROWTH'!D4)/'YOY GROWTH'!D4</f>
        <v>2.8754857964915368E-2</v>
      </c>
      <c r="G11" s="85">
        <f>('YOY GROWTH'!F4-'YOY GROWTH'!E4)/'YOY GROWTH'!E4</f>
        <v>6.997323079657003E-2</v>
      </c>
      <c r="H11" s="80"/>
    </row>
    <row r="12" spans="2:14" x14ac:dyDescent="0.3">
      <c r="B12" s="72" t="s">
        <v>196</v>
      </c>
      <c r="C12" s="71"/>
      <c r="D12" s="20">
        <f>('YOY GROWTH'!C10-'YOY GROWTH'!B10)/'YOY GROWTH'!B10</f>
        <v>-0.14096295036425957</v>
      </c>
      <c r="E12" s="20">
        <f>('YOY GROWTH'!D10-'YOY GROWTH'!C10)/'YOY GROWTH'!C10</f>
        <v>0.25674204113284327</v>
      </c>
      <c r="F12" s="20">
        <f>('YOY GROWTH'!E10-'YOY GROWTH'!D10)/'YOY GROWTH'!D10</f>
        <v>0.11069099406913019</v>
      </c>
      <c r="G12" s="20">
        <f>('YOY GROWTH'!F10-'YOY GROWTH'!E10)/'YOY GROWTH'!E10</f>
        <v>8.9302072682770125E-3</v>
      </c>
      <c r="H12" s="73"/>
    </row>
    <row r="13" spans="2:14" x14ac:dyDescent="0.3">
      <c r="B13" s="72" t="s">
        <v>61</v>
      </c>
      <c r="C13" s="71"/>
      <c r="D13" s="20">
        <f>('YOY GROWTH'!C16-'YOY GROWTH'!B16)/'YOY GROWTH'!B16</f>
        <v>-0.18008636017271962</v>
      </c>
      <c r="E13" s="20">
        <f>('YOY GROWTH'!D16-'YOY GROWTH'!C16)/'YOY GROWTH'!C16</f>
        <v>0.27561364655013132</v>
      </c>
      <c r="F13" s="20">
        <f>('YOY GROWTH'!E16-'YOY GROWTH'!D16)/'YOY GROWTH'!D16</f>
        <v>0.10592618236871795</v>
      </c>
      <c r="G13" s="20">
        <f>('YOY GROWTH'!F16-'YOY GROWTH'!E16)/'YOY GROWTH'!E16</f>
        <v>3.4144586531854919E-2</v>
      </c>
      <c r="H13" s="73"/>
    </row>
    <row r="14" spans="2:14" ht="15" thickBot="1" x14ac:dyDescent="0.35">
      <c r="B14" s="72" t="s">
        <v>62</v>
      </c>
      <c r="C14" s="71"/>
      <c r="D14" s="20">
        <f>'YOY GROWTH'!B8/'YOY GROWTH'!B4</f>
        <v>0.44327405158593014</v>
      </c>
      <c r="E14" s="20">
        <f>'YOY GROWTH'!C8/'YOY GROWTH'!C4</f>
        <v>0.39605878782648318</v>
      </c>
      <c r="F14" s="20">
        <f>'YOY GROWTH'!D8/'YOY GROWTH'!D4</f>
        <v>0.42483903917352478</v>
      </c>
      <c r="G14" s="20">
        <f>'YOY GROWTH'!E8/'YOY GROWTH'!E4</f>
        <v>0.44673500993185761</v>
      </c>
      <c r="H14" s="73"/>
    </row>
    <row r="15" spans="2:14" x14ac:dyDescent="0.3">
      <c r="B15" s="72" t="s">
        <v>63</v>
      </c>
      <c r="C15" s="20">
        <f>'YOY GROWTH'!B10/'YOY GROWTH'!B4</f>
        <v>0.2148393668155181</v>
      </c>
      <c r="D15" s="20">
        <f>'YOY GROWTH'!C10/'YOY GROWTH'!C4</f>
        <v>0.17149797754144314</v>
      </c>
      <c r="E15" s="20">
        <f>'YOY GROWTH'!D10/'YOY GROWTH'!D4</f>
        <v>0.1869120980580409</v>
      </c>
      <c r="F15" s="20">
        <f>'YOY GROWTH'!E10/'YOY GROWTH'!E4</f>
        <v>0.20179888569985469</v>
      </c>
      <c r="G15" s="20">
        <f>'YOY GROWTH'!F10/'YOY GROWTH'!F4</f>
        <v>0.19028606110461807</v>
      </c>
      <c r="H15" s="73"/>
      <c r="J15" s="250" t="s">
        <v>175</v>
      </c>
      <c r="K15" s="251"/>
      <c r="M15" s="250" t="s">
        <v>176</v>
      </c>
      <c r="N15" s="251"/>
    </row>
    <row r="16" spans="2:14" ht="15" thickBot="1" x14ac:dyDescent="0.35">
      <c r="B16" s="72" t="s">
        <v>64</v>
      </c>
      <c r="C16" s="20">
        <f>'YOY GROWTH'!B18/'YOY GROWTH'!B4</f>
        <v>0.14193743367534145</v>
      </c>
      <c r="D16" s="20">
        <f>'YOY GROWTH'!C18/'YOY GROWTH'!C4</f>
        <v>0.10793519643809617</v>
      </c>
      <c r="E16" s="20">
        <f>'YOY GROWTH'!D18/'YOY GROWTH'!D4</f>
        <v>0.11939290392041979</v>
      </c>
      <c r="F16" s="20">
        <f>'YOY GROWTH'!E18/'YOY GROWTH'!E4</f>
        <v>0.12777598547819924</v>
      </c>
      <c r="G16" s="20">
        <f>'YOY GROWTH'!F18/'YOY GROWTH'!F4</f>
        <v>0.12280892420135894</v>
      </c>
      <c r="H16" s="73"/>
      <c r="J16" s="248">
        <f>AVERAGE(D14:G14)</f>
        <v>0.42772672212944896</v>
      </c>
      <c r="K16" s="249"/>
      <c r="M16" s="252">
        <f>AVERAGE(C17:G17)</f>
        <v>19.380070065514893</v>
      </c>
      <c r="N16" s="253"/>
    </row>
    <row r="17" spans="2:8" ht="15" thickBot="1" x14ac:dyDescent="0.35">
      <c r="B17" s="74" t="s">
        <v>65</v>
      </c>
      <c r="C17" s="75">
        <f>'YOY GROWTH'!B12/'YOY GROWTH'!B13</f>
        <v>23.663751127141566</v>
      </c>
      <c r="D17" s="75">
        <f>'YOY GROWTH'!C12/'YOY GROWTH'!C13</f>
        <v>15.412017464827786</v>
      </c>
      <c r="E17" s="75">
        <f>'YOY GROWTH'!D12/'YOY GROWTH'!D13</f>
        <v>16.681608515671194</v>
      </c>
      <c r="F17" s="75">
        <f>'YOY GROWTH'!E12/'YOY GROWTH'!E13</f>
        <v>18.802195121951232</v>
      </c>
      <c r="G17" s="75">
        <f>'YOY GROWTH'!F12/'YOY GROWTH'!F13</f>
        <v>22.340778097982685</v>
      </c>
      <c r="H17" s="76"/>
    </row>
    <row r="18" spans="2:8" x14ac:dyDescent="0.3">
      <c r="C18" s="5"/>
      <c r="D18" s="5"/>
      <c r="E18" s="5"/>
      <c r="F18" s="5"/>
      <c r="G18" s="5"/>
    </row>
    <row r="20" spans="2:8" ht="15" thickBot="1" x14ac:dyDescent="0.35"/>
    <row r="21" spans="2:8" ht="14.4" customHeight="1" x14ac:dyDescent="0.3">
      <c r="B21" s="230" t="s">
        <v>129</v>
      </c>
      <c r="C21" s="231"/>
      <c r="D21" s="231"/>
      <c r="E21" s="231"/>
      <c r="F21" s="231"/>
      <c r="G21" s="231"/>
      <c r="H21" s="232"/>
    </row>
    <row r="22" spans="2:8" ht="14.4" customHeight="1" thickBot="1" x14ac:dyDescent="0.35">
      <c r="B22" s="233"/>
      <c r="C22" s="234"/>
      <c r="D22" s="234"/>
      <c r="E22" s="234"/>
      <c r="F22" s="234"/>
      <c r="G22" s="234"/>
      <c r="H22" s="235"/>
    </row>
    <row r="23" spans="2:8" ht="15" thickBot="1" x14ac:dyDescent="0.35">
      <c r="B23" s="83" t="s">
        <v>128</v>
      </c>
      <c r="C23" s="86">
        <v>44256</v>
      </c>
      <c r="D23" s="86">
        <v>44621</v>
      </c>
      <c r="E23" s="86">
        <v>44986</v>
      </c>
      <c r="F23" s="86">
        <v>45352</v>
      </c>
      <c r="G23" s="89" t="s">
        <v>2</v>
      </c>
      <c r="H23" s="88" t="s">
        <v>163</v>
      </c>
    </row>
    <row r="24" spans="2:8" x14ac:dyDescent="0.3">
      <c r="B24" s="77" t="s">
        <v>66</v>
      </c>
      <c r="C24" s="82">
        <v>5.1630332431433779</v>
      </c>
      <c r="D24" s="82">
        <v>3.8288682767585742</v>
      </c>
      <c r="E24" s="82">
        <v>2.122467983214618</v>
      </c>
      <c r="F24" s="82">
        <v>3.2730689744252133</v>
      </c>
      <c r="G24" s="82">
        <v>4.3126796708245427</v>
      </c>
      <c r="H24" s="80"/>
    </row>
    <row r="25" spans="2:8" x14ac:dyDescent="0.3">
      <c r="B25" s="72" t="s">
        <v>186</v>
      </c>
      <c r="C25" s="21"/>
      <c r="D25" s="51">
        <f>('BALANCE C'!C12-'BALANCE C'!B12)/'BALANCE C'!B12</f>
        <v>-0.27505886189839984</v>
      </c>
      <c r="E25" s="51">
        <f>('BALANCE C'!D12-'BALANCE C'!C12)/'BALANCE C'!C12</f>
        <v>0.38522736690068293</v>
      </c>
      <c r="F25" s="51">
        <f>('BALANCE C'!E12-'BALANCE C'!D12)/'BALANCE C'!D12</f>
        <v>0.11601969129788217</v>
      </c>
      <c r="G25" s="51">
        <f>('BALANCE C'!F12-'BALANCE C'!E12)/'BALANCE C'!E12</f>
        <v>0.10573258488345683</v>
      </c>
      <c r="H25" s="73"/>
    </row>
    <row r="26" spans="2:8" x14ac:dyDescent="0.3">
      <c r="B26" s="72" t="s">
        <v>67</v>
      </c>
      <c r="C26" s="21">
        <v>29.594852635948527</v>
      </c>
      <c r="D26" s="21">
        <v>37.555832295558325</v>
      </c>
      <c r="E26" s="21">
        <v>64.416770444167696</v>
      </c>
      <c r="F26" s="21">
        <v>29.347862183478622</v>
      </c>
      <c r="G26" s="21">
        <v>31.039850560398506</v>
      </c>
      <c r="H26" s="73"/>
    </row>
    <row r="27" spans="2:8" x14ac:dyDescent="0.3">
      <c r="B27" s="72" t="s">
        <v>188</v>
      </c>
      <c r="C27" s="21"/>
      <c r="D27" s="51">
        <f>('BALANCE C'!C17-'BALANCE C'!B17)/'BALANCE C'!B17</f>
        <v>-5.4510197258441979E-2</v>
      </c>
      <c r="E27" s="51">
        <f>('BALANCE C'!D17-'BALANCE C'!C17)/'BALANCE C'!C17</f>
        <v>1.1949391080496188</v>
      </c>
      <c r="F27" s="51">
        <f>('BALANCE C'!E17-'BALANCE C'!D17)/'BALANCE C'!D17</f>
        <v>-0.41698672509343981</v>
      </c>
      <c r="G27" s="51">
        <f>('BALANCE C'!F17-'BALANCE C'!E17)/'BALANCE C'!E17</f>
        <v>-0.21197718631178702</v>
      </c>
      <c r="H27" s="73"/>
    </row>
    <row r="28" spans="2:8" x14ac:dyDescent="0.3">
      <c r="B28" s="72" t="s">
        <v>68</v>
      </c>
      <c r="C28" s="21">
        <v>1.0816469794873778</v>
      </c>
      <c r="D28" s="21">
        <v>1.1871139283274696</v>
      </c>
      <c r="E28" s="21">
        <v>1.147985197368421</v>
      </c>
      <c r="F28" s="21">
        <v>0.95540855637878319</v>
      </c>
      <c r="G28" s="21">
        <v>1.2228416803393216</v>
      </c>
      <c r="H28" s="73"/>
    </row>
    <row r="29" spans="2:8" x14ac:dyDescent="0.3">
      <c r="B29" s="72" t="s">
        <v>69</v>
      </c>
      <c r="C29" s="21">
        <v>0.73990536887896385</v>
      </c>
      <c r="D29" s="21">
        <v>0.89791181590486746</v>
      </c>
      <c r="E29" s="21">
        <v>0.85936774380804948</v>
      </c>
      <c r="F29" s="21">
        <v>0.62634723622564525</v>
      </c>
      <c r="G29" s="21">
        <v>0.92084708668693827</v>
      </c>
      <c r="H29" s="73"/>
    </row>
    <row r="30" spans="2:8" x14ac:dyDescent="0.3">
      <c r="B30" s="72" t="s">
        <v>70</v>
      </c>
      <c r="C30" s="21">
        <v>12.709938803263826</v>
      </c>
      <c r="D30" s="21">
        <v>10.295363748299529</v>
      </c>
      <c r="E30" s="21">
        <v>7.5110322867205923</v>
      </c>
      <c r="F30" s="21">
        <v>7.3221873770488832</v>
      </c>
      <c r="G30" s="21">
        <v>5.3552006213850909</v>
      </c>
      <c r="H30" s="73"/>
    </row>
    <row r="31" spans="2:8" x14ac:dyDescent="0.3">
      <c r="B31" s="72" t="s">
        <v>71</v>
      </c>
      <c r="C31" s="21">
        <v>83.865140766577923</v>
      </c>
      <c r="D31" s="21">
        <v>67.809344428843772</v>
      </c>
      <c r="E31" s="21">
        <v>55.134929571590916</v>
      </c>
      <c r="F31" s="21">
        <v>49.420966853244252</v>
      </c>
      <c r="G31" s="21">
        <v>45.254761152578489</v>
      </c>
      <c r="H31" s="73"/>
    </row>
    <row r="32" spans="2:8" x14ac:dyDescent="0.3">
      <c r="B32" s="72" t="s">
        <v>72</v>
      </c>
      <c r="C32" s="21">
        <v>10.62356147544298</v>
      </c>
      <c r="D32" s="21">
        <v>11.967508169519649</v>
      </c>
      <c r="E32" s="21">
        <v>13.660518244137908</v>
      </c>
      <c r="F32" s="21">
        <v>12.262809965703589</v>
      </c>
      <c r="G32" s="21">
        <v>16.438693895500645</v>
      </c>
      <c r="H32" s="73"/>
    </row>
    <row r="33" spans="2:8" x14ac:dyDescent="0.3">
      <c r="B33" s="72" t="s">
        <v>73</v>
      </c>
      <c r="C33" s="21">
        <v>29.28187066717193</v>
      </c>
      <c r="D33" s="21">
        <v>35.939948643632576</v>
      </c>
      <c r="E33" s="21">
        <v>49.554782027117405</v>
      </c>
      <c r="F33" s="21">
        <v>50.520501310517275</v>
      </c>
      <c r="G33" s="21">
        <v>69.742566175613163</v>
      </c>
      <c r="H33" s="73"/>
    </row>
    <row r="34" spans="2:8" x14ac:dyDescent="0.3">
      <c r="B34" s="72"/>
      <c r="C34" s="21"/>
      <c r="D34" s="21"/>
      <c r="E34" s="21"/>
      <c r="F34" s="21"/>
      <c r="G34" s="21"/>
      <c r="H34" s="73"/>
    </row>
    <row r="35" spans="2:8" ht="15" thickBot="1" x14ac:dyDescent="0.35">
      <c r="B35" s="74" t="s">
        <v>74</v>
      </c>
      <c r="C35" s="75">
        <v>4.352225449855327</v>
      </c>
      <c r="D35" s="75">
        <v>5.3827389583896572</v>
      </c>
      <c r="E35" s="75">
        <v>6.6201227214058447</v>
      </c>
      <c r="F35" s="75">
        <v>7.3855293257185526</v>
      </c>
      <c r="G35" s="75">
        <v>8.0654497052671612</v>
      </c>
      <c r="H35" s="76"/>
    </row>
    <row r="36" spans="2:8" ht="39.6" customHeight="1" thickBot="1" x14ac:dyDescent="0.35"/>
    <row r="37" spans="2:8" ht="31.8" thickBot="1" x14ac:dyDescent="0.65">
      <c r="B37" s="245" t="s">
        <v>164</v>
      </c>
      <c r="C37" s="246"/>
      <c r="D37" s="246"/>
      <c r="E37" s="246"/>
      <c r="F37" s="246"/>
      <c r="G37" s="246"/>
      <c r="H37" s="247"/>
    </row>
    <row r="38" spans="2:8" ht="15" thickBot="1" x14ac:dyDescent="0.35">
      <c r="B38" s="81" t="s">
        <v>128</v>
      </c>
      <c r="C38" s="90">
        <v>44256</v>
      </c>
      <c r="D38" s="86">
        <v>44621</v>
      </c>
      <c r="E38" s="86">
        <v>44986</v>
      </c>
      <c r="F38" s="86">
        <v>45352</v>
      </c>
      <c r="G38" s="89" t="s">
        <v>2</v>
      </c>
      <c r="H38" s="88" t="s">
        <v>163</v>
      </c>
    </row>
    <row r="39" spans="2:8" x14ac:dyDescent="0.3">
      <c r="B39" s="77" t="str">
        <f>CFS!A3</f>
        <v>Cash from Operating Activity </v>
      </c>
      <c r="C39" s="79">
        <f>CFS!B3</f>
        <v>1876</v>
      </c>
      <c r="D39" s="79">
        <f>CFS!C3</f>
        <v>1300</v>
      </c>
      <c r="E39" s="79">
        <f>CFS!D3</f>
        <v>2526</v>
      </c>
      <c r="F39" s="79">
        <f>CFS!E3</f>
        <v>2573</v>
      </c>
      <c r="G39" s="79">
        <f>CFS!F3</f>
        <v>2481</v>
      </c>
      <c r="H39" s="80"/>
    </row>
    <row r="40" spans="2:8" x14ac:dyDescent="0.3">
      <c r="B40" s="72" t="str">
        <f>CFS!A4</f>
        <v>Cash from Investing Activity </v>
      </c>
      <c r="C40" s="7">
        <f>CFS!B4</f>
        <v>433</v>
      </c>
      <c r="D40" s="7">
        <f>CFS!C4</f>
        <v>914</v>
      </c>
      <c r="E40" s="7">
        <f>CFS!D4</f>
        <v>-1507</v>
      </c>
      <c r="F40" s="7">
        <f>CFS!E4</f>
        <v>485</v>
      </c>
      <c r="G40" s="7">
        <f>CFS!F4</f>
        <v>87</v>
      </c>
      <c r="H40" s="73"/>
    </row>
    <row r="41" spans="2:8" x14ac:dyDescent="0.3">
      <c r="B41" s="72" t="str">
        <f>CFS!A5</f>
        <v>Cash from Financing Activity </v>
      </c>
      <c r="C41" s="7">
        <f>CFS!B5</f>
        <v>-2242</v>
      </c>
      <c r="D41" s="7">
        <f>CFS!C5</f>
        <v>-2246</v>
      </c>
      <c r="E41" s="7">
        <f>CFS!D5</f>
        <v>-1028</v>
      </c>
      <c r="F41" s="7">
        <f>CFS!E5</f>
        <v>-2839</v>
      </c>
      <c r="G41" s="7">
        <f>CFS!F5</f>
        <v>-2762</v>
      </c>
      <c r="H41" s="73"/>
    </row>
    <row r="42" spans="2:8" ht="15" thickBot="1" x14ac:dyDescent="0.35">
      <c r="B42" s="74" t="str">
        <f>CFS!A6</f>
        <v>Net Cash Flow</v>
      </c>
      <c r="C42" s="78">
        <f>CFS!B6</f>
        <v>66</v>
      </c>
      <c r="D42" s="78">
        <f>CFS!C6</f>
        <v>-32</v>
      </c>
      <c r="E42" s="78">
        <f>CFS!D6</f>
        <v>-9</v>
      </c>
      <c r="F42" s="78">
        <f>CFS!E6</f>
        <v>219</v>
      </c>
      <c r="G42" s="78">
        <f>CFS!F6</f>
        <v>-194</v>
      </c>
      <c r="H42" s="76"/>
    </row>
    <row r="45" spans="2:8" ht="15" thickBot="1" x14ac:dyDescent="0.35"/>
    <row r="46" spans="2:8" ht="31.8" thickBot="1" x14ac:dyDescent="0.65">
      <c r="B46" s="245" t="s">
        <v>165</v>
      </c>
      <c r="C46" s="246"/>
      <c r="D46" s="246"/>
      <c r="E46" s="246"/>
      <c r="F46" s="246"/>
      <c r="G46" s="246"/>
      <c r="H46" s="247"/>
    </row>
    <row r="47" spans="2:8" ht="15" thickBot="1" x14ac:dyDescent="0.35">
      <c r="B47" s="92" t="s">
        <v>128</v>
      </c>
      <c r="C47" s="98">
        <v>44256</v>
      </c>
      <c r="D47" s="98">
        <v>44621</v>
      </c>
      <c r="E47" s="98">
        <v>44986</v>
      </c>
      <c r="F47" s="98">
        <v>45352</v>
      </c>
      <c r="G47" s="99" t="s">
        <v>2</v>
      </c>
      <c r="H47" s="100" t="s">
        <v>163</v>
      </c>
    </row>
    <row r="48" spans="2:8" x14ac:dyDescent="0.3">
      <c r="B48" s="77" t="s">
        <v>166</v>
      </c>
      <c r="C48" s="91"/>
      <c r="D48" s="91">
        <f>(D39-C39)/C39</f>
        <v>-0.30703624733475482</v>
      </c>
      <c r="E48" s="91">
        <f t="shared" ref="E48:G48" si="0">(E39-D39)/D39</f>
        <v>0.94307692307692303</v>
      </c>
      <c r="F48" s="91">
        <f t="shared" si="0"/>
        <v>1.8606492478226443E-2</v>
      </c>
      <c r="G48" s="91">
        <f t="shared" si="0"/>
        <v>-3.5755926933540613E-2</v>
      </c>
      <c r="H48" s="80"/>
    </row>
    <row r="49" spans="2:8" x14ac:dyDescent="0.3">
      <c r="B49" s="72" t="s">
        <v>167</v>
      </c>
      <c r="C49" s="36"/>
      <c r="D49" s="36">
        <f>(D40-C40)/C40</f>
        <v>1.1108545034642032</v>
      </c>
      <c r="E49" s="36">
        <f t="shared" ref="E49:G49" si="1">(E40-D40)/D40</f>
        <v>-2.6487964989059081</v>
      </c>
      <c r="F49" s="36">
        <f t="shared" si="1"/>
        <v>-1.3218314532183146</v>
      </c>
      <c r="G49" s="36">
        <f t="shared" si="1"/>
        <v>-0.8206185567010309</v>
      </c>
      <c r="H49" s="73"/>
    </row>
    <row r="50" spans="2:8" x14ac:dyDescent="0.3">
      <c r="B50" s="72" t="s">
        <v>168</v>
      </c>
      <c r="C50" s="36"/>
      <c r="D50" s="36">
        <f>(D41-C41)/C41</f>
        <v>1.7841213202497771E-3</v>
      </c>
      <c r="E50" s="36">
        <f t="shared" ref="E50:G50" si="2">(E41-D41)/D41</f>
        <v>-0.54229741763134465</v>
      </c>
      <c r="F50" s="36">
        <f t="shared" si="2"/>
        <v>1.7616731517509727</v>
      </c>
      <c r="G50" s="36">
        <f t="shared" si="2"/>
        <v>-2.7122226135963368E-2</v>
      </c>
      <c r="H50" s="73"/>
    </row>
    <row r="51" spans="2:8" x14ac:dyDescent="0.3">
      <c r="B51" s="72" t="s">
        <v>169</v>
      </c>
      <c r="C51" s="55"/>
      <c r="D51" s="36">
        <f>(D42-C42)/C42</f>
        <v>-1.4848484848484849</v>
      </c>
      <c r="E51" s="36">
        <f t="shared" ref="E51:G51" si="3">(E42-D42)/D42</f>
        <v>-0.71875</v>
      </c>
      <c r="F51" s="36">
        <f t="shared" si="3"/>
        <v>-25.333333333333332</v>
      </c>
      <c r="G51" s="36">
        <f t="shared" si="3"/>
        <v>-1.8858447488584476</v>
      </c>
      <c r="H51" s="73"/>
    </row>
    <row r="52" spans="2:8" x14ac:dyDescent="0.3">
      <c r="B52" s="72" t="s">
        <v>170</v>
      </c>
      <c r="G52" s="53">
        <f>AVERAGE(C39:G39)</f>
        <v>2151.1999999999998</v>
      </c>
      <c r="H52" s="73"/>
    </row>
    <row r="53" spans="2:8" x14ac:dyDescent="0.3">
      <c r="B53" s="93" t="s">
        <v>171</v>
      </c>
      <c r="C53" s="56"/>
      <c r="D53" s="57"/>
      <c r="E53" s="57"/>
      <c r="F53" s="58"/>
      <c r="G53" s="53">
        <f>AVERAGE(C40:G40)</f>
        <v>82.4</v>
      </c>
      <c r="H53" s="73"/>
    </row>
    <row r="54" spans="2:8" ht="15" thickBot="1" x14ac:dyDescent="0.35">
      <c r="B54" s="74" t="s">
        <v>172</v>
      </c>
      <c r="C54" s="94"/>
      <c r="D54" s="95"/>
      <c r="E54" s="95"/>
      <c r="F54" s="96"/>
      <c r="G54" s="97">
        <f>AVERAGE(C41:G41)</f>
        <v>-2223.4</v>
      </c>
      <c r="H54" s="76"/>
    </row>
  </sheetData>
  <mergeCells count="13">
    <mergeCell ref="J16:K16"/>
    <mergeCell ref="M15:N15"/>
    <mergeCell ref="M16:N16"/>
    <mergeCell ref="J9:K9"/>
    <mergeCell ref="J10:K10"/>
    <mergeCell ref="M9:N9"/>
    <mergeCell ref="M10:N10"/>
    <mergeCell ref="J15:K15"/>
    <mergeCell ref="B9:H9"/>
    <mergeCell ref="B21:H22"/>
    <mergeCell ref="B1:H6"/>
    <mergeCell ref="B37:H37"/>
    <mergeCell ref="B46:H4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ast="1" negative="1" xr2:uid="{00000000-0003-0000-0900-000005000000}">
          <x14:colorSeries theme="5" tint="-0.499984740745262"/>
          <x14:colorNegative rgb="FFD00000"/>
          <x14:colorAxis rgb="FF000000"/>
          <x14:colorMarkers rgb="FFD00000"/>
          <x14:colorFirst rgb="FFD00000"/>
          <x14:colorLast theme="5" tint="-0.249977111117893"/>
          <x14:colorHigh theme="5" tint="-0.249977111117893"/>
          <x14:colorLow rgb="FFD00000"/>
          <x14:sparklines>
            <x14:sparkline>
              <xm:f>'one pager'!C39:G39</xm:f>
              <xm:sqref>H39</xm:sqref>
            </x14:sparkline>
            <x14:sparkline>
              <xm:f>'one pager'!C40:G40</xm:f>
              <xm:sqref>H40</xm:sqref>
            </x14:sparkline>
            <x14:sparkline>
              <xm:f>'one pager'!C41:G41</xm:f>
              <xm:sqref>H41</xm:sqref>
            </x14:sparkline>
            <x14:sparkline>
              <xm:f>'one pager'!C42:G42</xm:f>
              <xm:sqref>H42</xm:sqref>
            </x14:sparkline>
          </x14:sparklines>
        </x14:sparklineGroup>
        <x14:sparklineGroup type="column" displayEmptyCellsAs="gap" high="1" xr2:uid="{00000000-0003-0000-0900-000006000000}">
          <x14:colorSeries theme="5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5" tint="-0.249977111117893"/>
          <x14:colorLow rgb="FFD00000"/>
          <x14:sparklines>
            <x14:sparkline>
              <xm:f>'one pager'!D11:G11</xm:f>
              <xm:sqref>H11</xm:sqref>
            </x14:sparkline>
            <x14:sparkline>
              <xm:f>'one pager'!D12:G12</xm:f>
              <xm:sqref>H12</xm:sqref>
            </x14:sparkline>
            <x14:sparkline>
              <xm:f>'one pager'!D13:G13</xm:f>
              <xm:sqref>H13</xm:sqref>
            </x14:sparkline>
            <x14:sparkline>
              <xm:f>'one pager'!D14:G14</xm:f>
              <xm:sqref>H14</xm:sqref>
            </x14:sparkline>
            <x14:sparkline>
              <xm:f>'one pager'!D15:G15</xm:f>
              <xm:sqref>H15</xm:sqref>
            </x14:sparkline>
            <x14:sparkline>
              <xm:f>'one pager'!D16:G16</xm:f>
              <xm:sqref>H16</xm:sqref>
            </x14:sparkline>
            <x14:sparkline>
              <xm:f>'one pager'!D17:G17</xm:f>
              <xm:sqref>H17</xm:sqref>
            </x14:sparkline>
            <x14:sparkline>
              <xm:f>'one pager'!D18:G18</xm:f>
              <xm:sqref>H18</xm:sqref>
            </x14:sparkline>
          </x14:sparklines>
        </x14:sparklineGroup>
        <x14:sparklineGroup type="column" displayEmptyCellsAs="gap" high="1" xr2:uid="{00000000-0003-0000-0900-000007000000}">
          <x14:colorSeries theme="5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5" tint="-0.499984740745262"/>
          <x14:colorLow rgb="FFD00000"/>
          <x14:sparklines>
            <x14:sparkline>
              <xm:f>'one pager'!C48:G48</xm:f>
              <xm:sqref>H48</xm:sqref>
            </x14:sparkline>
            <x14:sparkline>
              <xm:f>'one pager'!C49:G49</xm:f>
              <xm:sqref>H49</xm:sqref>
            </x14:sparkline>
            <x14:sparkline>
              <xm:f>'one pager'!C50:G50</xm:f>
              <xm:sqref>H50</xm:sqref>
            </x14:sparkline>
            <x14:sparkline>
              <xm:f>'one pager'!C51:G51</xm:f>
              <xm:sqref>H51</xm:sqref>
            </x14:sparkline>
          </x14:sparklines>
        </x14:sparklineGroup>
        <x14:sparklineGroup displayEmptyCellsAs="gap" markers="1" low="1" xr2:uid="{00000000-0003-0000-0900-000008000000}">
          <x14:colorSeries theme="5" tint="-0.249977111117893"/>
          <x14:colorNegative rgb="FFD00000"/>
          <x14:colorAxis rgb="FF000000"/>
          <x14:colorMarkers theme="5" tint="-0.249977111117893"/>
          <x14:colorFirst rgb="FFD00000"/>
          <x14:colorLast rgb="FFD00000"/>
          <x14:colorHigh rgb="FFD00000"/>
          <x14:colorLow theme="5" tint="-0.249977111117893"/>
          <x14:sparklines>
            <x14:sparkline>
              <xm:f>'one pager'!C24:G24</xm:f>
              <xm:sqref>H24</xm:sqref>
            </x14:sparkline>
            <x14:sparkline>
              <xm:f>'one pager'!C25:G25</xm:f>
              <xm:sqref>H25</xm:sqref>
            </x14:sparkline>
            <x14:sparkline>
              <xm:f>'one pager'!C26:G26</xm:f>
              <xm:sqref>H26</xm:sqref>
            </x14:sparkline>
            <x14:sparkline>
              <xm:f>'one pager'!C27:G27</xm:f>
              <xm:sqref>H27</xm:sqref>
            </x14:sparkline>
            <x14:sparkline>
              <xm:f>'one pager'!C28:G28</xm:f>
              <xm:sqref>H28</xm:sqref>
            </x14:sparkline>
            <x14:sparkline>
              <xm:f>'one pager'!C29:G29</xm:f>
              <xm:sqref>H29</xm:sqref>
            </x14:sparkline>
            <x14:sparkline>
              <xm:f>'one pager'!C30:G30</xm:f>
              <xm:sqref>H30</xm:sqref>
            </x14:sparkline>
            <x14:sparkline>
              <xm:f>'one pager'!C31:G31</xm:f>
              <xm:sqref>H31</xm:sqref>
            </x14:sparkline>
            <x14:sparkline>
              <xm:f>'one pager'!C32:G32</xm:f>
              <xm:sqref>H32</xm:sqref>
            </x14:sparkline>
            <x14:sparkline>
              <xm:f>'one pager'!C33:G33</xm:f>
              <xm:sqref>H33</xm:sqref>
            </x14:sparkline>
            <x14:sparkline>
              <xm:f>'one pager'!C34:G34</xm:f>
              <xm:sqref>H34</xm:sqref>
            </x14:sparkline>
            <x14:sparkline>
              <xm:f>'one pager'!C35:G35</xm:f>
              <xm:sqref>H35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3"/>
  <sheetViews>
    <sheetView showGridLines="0" topLeftCell="A46" workbookViewId="0">
      <selection activeCell="K13" sqref="K13"/>
    </sheetView>
  </sheetViews>
  <sheetFormatPr defaultRowHeight="14.4" x14ac:dyDescent="0.3"/>
  <cols>
    <col min="1" max="1" width="12.5546875" customWidth="1"/>
    <col min="2" max="2" width="21.33203125" customWidth="1"/>
    <col min="3" max="3" width="7.6640625" customWidth="1"/>
    <col min="4" max="4" width="11.44140625" customWidth="1"/>
    <col min="5" max="6" width="7.109375" customWidth="1"/>
    <col min="7" max="7" width="10.77734375" customWidth="1"/>
    <col min="8" max="8" width="19.88671875" customWidth="1"/>
    <col min="11" max="11" width="12.5546875" customWidth="1"/>
    <col min="12" max="12" width="27.44140625" customWidth="1"/>
    <col min="13" max="15" width="15.5546875" bestFit="1" customWidth="1"/>
    <col min="16" max="16" width="10.77734375" bestFit="1" customWidth="1"/>
  </cols>
  <sheetData>
    <row r="1" spans="1:16" x14ac:dyDescent="0.3">
      <c r="A1" s="257" t="s">
        <v>147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 x14ac:dyDescent="0.3">
      <c r="A2" s="257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</row>
    <row r="3" spans="1:16" x14ac:dyDescent="0.3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</row>
    <row r="4" spans="1:16" ht="14.4" customHeight="1" x14ac:dyDescent="0.3">
      <c r="A4" s="7" t="s">
        <v>134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</row>
    <row r="5" spans="1:16" ht="14.4" customHeight="1" x14ac:dyDescent="0.3">
      <c r="A5" s="32">
        <v>44256</v>
      </c>
      <c r="B5" s="36"/>
      <c r="C5" s="36"/>
      <c r="D5" s="36"/>
      <c r="E5" s="36"/>
      <c r="F5" s="36">
        <v>0.2148393668155181</v>
      </c>
      <c r="G5" s="36">
        <v>0.14193743367534145</v>
      </c>
      <c r="H5" s="21">
        <v>23.663751127141566</v>
      </c>
    </row>
    <row r="6" spans="1:16" x14ac:dyDescent="0.3">
      <c r="A6" s="32">
        <v>44621</v>
      </c>
      <c r="B6" s="36">
        <v>7.6134998561221245E-2</v>
      </c>
      <c r="C6" s="36">
        <v>-0.14096295036425957</v>
      </c>
      <c r="D6" s="36">
        <v>-0.18008636017271962</v>
      </c>
      <c r="E6" s="36">
        <v>0.44327405158593014</v>
      </c>
      <c r="F6" s="36">
        <v>0.17149797754144314</v>
      </c>
      <c r="G6" s="36">
        <v>0.10793519643809617</v>
      </c>
      <c r="H6" s="21">
        <v>15.412017464827786</v>
      </c>
    </row>
    <row r="7" spans="1:16" x14ac:dyDescent="0.3">
      <c r="A7" s="32">
        <v>44986</v>
      </c>
      <c r="B7" s="36">
        <v>0.15310202274151713</v>
      </c>
      <c r="C7" s="36">
        <v>0.25674204113284327</v>
      </c>
      <c r="D7" s="36">
        <v>0.27561364655013132</v>
      </c>
      <c r="E7" s="36">
        <v>0.39605878782648318</v>
      </c>
      <c r="F7" s="36">
        <v>0.1869120980580409</v>
      </c>
      <c r="G7" s="36">
        <v>0.11939290392041979</v>
      </c>
      <c r="H7" s="21">
        <v>16.681608515671194</v>
      </c>
    </row>
    <row r="8" spans="1:16" x14ac:dyDescent="0.3">
      <c r="A8" s="32">
        <v>45352</v>
      </c>
      <c r="B8" s="36">
        <v>2.8754857964915368E-2</v>
      </c>
      <c r="C8" s="36">
        <v>0.11069099406913019</v>
      </c>
      <c r="D8" s="36">
        <v>0.10592618236871795</v>
      </c>
      <c r="E8" s="36">
        <v>0.42483903917352478</v>
      </c>
      <c r="F8" s="36">
        <v>0.20179888569985469</v>
      </c>
      <c r="G8" s="36">
        <v>0.12777598547819924</v>
      </c>
      <c r="H8" s="21">
        <v>18.802195121951232</v>
      </c>
    </row>
    <row r="9" spans="1:16" x14ac:dyDescent="0.3">
      <c r="A9" s="32">
        <v>45717</v>
      </c>
      <c r="B9" s="36">
        <v>6.997323079657003E-2</v>
      </c>
      <c r="C9" s="36">
        <v>8.9302072682770125E-3</v>
      </c>
      <c r="D9" s="36">
        <v>3.4144586531854919E-2</v>
      </c>
      <c r="E9" s="36">
        <v>0.44673500993185761</v>
      </c>
      <c r="F9" s="36">
        <v>0.19028606110461807</v>
      </c>
      <c r="G9" s="36">
        <v>0.12280892420135894</v>
      </c>
      <c r="H9" s="21">
        <v>22.340778097982685</v>
      </c>
    </row>
    <row r="11" spans="1:16" x14ac:dyDescent="0.3">
      <c r="A11" s="258" t="s">
        <v>129</v>
      </c>
      <c r="B11" s="258"/>
      <c r="C11" s="258"/>
      <c r="D11" s="258"/>
      <c r="E11" s="258"/>
      <c r="F11" s="258"/>
    </row>
    <row r="12" spans="1:16" x14ac:dyDescent="0.3">
      <c r="A12" s="258"/>
      <c r="B12" s="258"/>
      <c r="C12" s="258"/>
      <c r="D12" s="258"/>
      <c r="E12" s="258"/>
      <c r="F12" s="258"/>
    </row>
    <row r="13" spans="1:16" x14ac:dyDescent="0.3">
      <c r="A13" s="19" t="s">
        <v>128</v>
      </c>
      <c r="B13" s="32">
        <v>44256</v>
      </c>
      <c r="C13" s="32">
        <v>44621</v>
      </c>
      <c r="D13" s="32">
        <v>44986</v>
      </c>
      <c r="E13" s="32">
        <v>45352</v>
      </c>
      <c r="F13" s="33" t="s">
        <v>2</v>
      </c>
    </row>
    <row r="14" spans="1:16" x14ac:dyDescent="0.3">
      <c r="A14" s="19" t="s">
        <v>66</v>
      </c>
      <c r="B14" s="21">
        <v>5.1630332431433779</v>
      </c>
      <c r="C14" s="21">
        <v>3.8288682767585742</v>
      </c>
      <c r="D14" s="21">
        <v>2.122467983214618</v>
      </c>
      <c r="E14" s="21">
        <v>3.2730689744252133</v>
      </c>
      <c r="F14" s="21">
        <v>4.3126796708245427</v>
      </c>
    </row>
    <row r="15" spans="1:16" x14ac:dyDescent="0.3">
      <c r="A15" s="19" t="s">
        <v>67</v>
      </c>
      <c r="B15" s="21">
        <v>29.594852635948527</v>
      </c>
      <c r="C15" s="21">
        <v>37.555832295558325</v>
      </c>
      <c r="D15" s="21">
        <v>64.416770444167696</v>
      </c>
      <c r="E15" s="21">
        <v>29.347862183478622</v>
      </c>
      <c r="F15" s="21">
        <v>31.039850560398506</v>
      </c>
    </row>
    <row r="16" spans="1:16" x14ac:dyDescent="0.3">
      <c r="A16" s="19" t="s">
        <v>68</v>
      </c>
      <c r="B16" s="21">
        <v>1.0816469794873778</v>
      </c>
      <c r="C16" s="21">
        <v>1.1871139283274696</v>
      </c>
      <c r="D16" s="21">
        <v>1.147985197368421</v>
      </c>
      <c r="E16" s="21">
        <v>0.95540855637878319</v>
      </c>
      <c r="F16" s="21">
        <v>1.2228416803393216</v>
      </c>
    </row>
    <row r="17" spans="1:17" x14ac:dyDescent="0.3">
      <c r="A17" s="19" t="s">
        <v>69</v>
      </c>
      <c r="B17" s="21">
        <v>0.73990536887896385</v>
      </c>
      <c r="C17" s="21">
        <v>0.89791181590486746</v>
      </c>
      <c r="D17" s="21">
        <v>0.85936774380804948</v>
      </c>
      <c r="E17" s="21">
        <v>0.62634723622564525</v>
      </c>
      <c r="F17" s="21">
        <v>0.92084708668693827</v>
      </c>
    </row>
    <row r="18" spans="1:17" x14ac:dyDescent="0.3">
      <c r="A18" s="19" t="s">
        <v>70</v>
      </c>
      <c r="B18" s="21">
        <v>12.709938803263826</v>
      </c>
      <c r="C18" s="21">
        <v>10.295363748299529</v>
      </c>
      <c r="D18" s="21">
        <v>7.5110322867205923</v>
      </c>
      <c r="E18" s="21">
        <v>7.3221873770488832</v>
      </c>
      <c r="F18" s="21">
        <v>5.3552006213850909</v>
      </c>
    </row>
    <row r="19" spans="1:17" x14ac:dyDescent="0.3">
      <c r="A19" s="19" t="s">
        <v>71</v>
      </c>
      <c r="B19" s="21">
        <v>83.865140766577923</v>
      </c>
      <c r="C19" s="21">
        <v>67.809344428843772</v>
      </c>
      <c r="D19" s="21">
        <v>55.134929571590916</v>
      </c>
      <c r="E19" s="21">
        <v>49.420966853244252</v>
      </c>
      <c r="F19" s="21">
        <v>45.254761152578489</v>
      </c>
    </row>
    <row r="20" spans="1:17" x14ac:dyDescent="0.3">
      <c r="A20" s="19" t="s">
        <v>72</v>
      </c>
      <c r="B20" s="21">
        <v>10.62356147544298</v>
      </c>
      <c r="C20" s="21">
        <v>11.967508169519649</v>
      </c>
      <c r="D20" s="21">
        <v>13.660518244137908</v>
      </c>
      <c r="E20" s="21">
        <v>12.262809965703589</v>
      </c>
      <c r="F20" s="21">
        <v>16.438693895500645</v>
      </c>
    </row>
    <row r="21" spans="1:17" x14ac:dyDescent="0.3">
      <c r="A21" s="19" t="s">
        <v>73</v>
      </c>
      <c r="B21" s="21">
        <v>29.28187066717193</v>
      </c>
      <c r="C21" s="21">
        <v>35.939948643632576</v>
      </c>
      <c r="D21" s="21">
        <v>49.554782027117405</v>
      </c>
      <c r="E21" s="21">
        <v>50.520501310517275</v>
      </c>
      <c r="F21" s="21">
        <v>69.742566175613163</v>
      </c>
    </row>
    <row r="22" spans="1:17" x14ac:dyDescent="0.3">
      <c r="A22" s="19" t="s">
        <v>74</v>
      </c>
      <c r="B22" s="21">
        <v>4.352225449855327</v>
      </c>
      <c r="C22" s="21">
        <v>5.3827389583896572</v>
      </c>
      <c r="D22" s="21">
        <v>6.6201227214058447</v>
      </c>
      <c r="E22" s="21">
        <v>7.3855293257185526</v>
      </c>
      <c r="F22" s="21">
        <v>8.0654497052671612</v>
      </c>
    </row>
    <row r="23" spans="1:17" x14ac:dyDescent="0.3">
      <c r="K23" s="254" t="s">
        <v>139</v>
      </c>
      <c r="L23" s="254"/>
      <c r="M23" s="254"/>
      <c r="N23" s="254"/>
      <c r="O23" s="254"/>
      <c r="P23" s="254"/>
      <c r="Q23" s="254"/>
    </row>
    <row r="24" spans="1:17" x14ac:dyDescent="0.3">
      <c r="A24" s="260" t="s">
        <v>59</v>
      </c>
      <c r="B24" s="260"/>
      <c r="C24" s="260"/>
      <c r="D24" s="260"/>
      <c r="E24" s="260"/>
      <c r="F24" s="260"/>
      <c r="G24" s="260"/>
      <c r="K24" s="254"/>
      <c r="L24" s="254"/>
      <c r="M24" s="254"/>
      <c r="N24" s="254"/>
      <c r="O24" s="254"/>
      <c r="P24" s="254"/>
      <c r="Q24" s="254"/>
    </row>
    <row r="25" spans="1:17" x14ac:dyDescent="0.3">
      <c r="B25" s="34" t="s">
        <v>133</v>
      </c>
      <c r="K25" s="34" t="s">
        <v>132</v>
      </c>
      <c r="L25" t="s">
        <v>140</v>
      </c>
    </row>
    <row r="26" spans="1:17" x14ac:dyDescent="0.3">
      <c r="B26" s="31">
        <v>44256</v>
      </c>
      <c r="C26" s="31">
        <v>44621</v>
      </c>
      <c r="D26" s="31">
        <v>44986</v>
      </c>
      <c r="E26" s="31">
        <v>45352</v>
      </c>
      <c r="F26" s="31">
        <v>45717</v>
      </c>
      <c r="G26" s="31" t="s">
        <v>131</v>
      </c>
      <c r="K26" s="35">
        <v>44256</v>
      </c>
    </row>
    <row r="27" spans="1:17" x14ac:dyDescent="0.3">
      <c r="A27" t="s">
        <v>130</v>
      </c>
      <c r="B27" s="4"/>
      <c r="C27" s="4">
        <v>7.6134998561221245E-2</v>
      </c>
      <c r="D27" s="4">
        <v>0.15310202274151713</v>
      </c>
      <c r="E27" s="4">
        <v>2.8754857964915368E-2</v>
      </c>
      <c r="F27" s="4">
        <v>6.997323079657003E-2</v>
      </c>
      <c r="G27" s="4">
        <v>0.3279651100642238</v>
      </c>
      <c r="K27" s="35">
        <v>44621</v>
      </c>
      <c r="L27" s="4">
        <v>0.44327405158593014</v>
      </c>
    </row>
    <row r="28" spans="1:17" x14ac:dyDescent="0.3">
      <c r="K28" s="35">
        <v>44986</v>
      </c>
      <c r="L28" s="4">
        <v>0.39605878782648318</v>
      </c>
    </row>
    <row r="29" spans="1:17" x14ac:dyDescent="0.3">
      <c r="K29" s="35">
        <v>45352</v>
      </c>
      <c r="L29" s="4">
        <v>0.42483903917352478</v>
      </c>
    </row>
    <row r="30" spans="1:17" x14ac:dyDescent="0.3">
      <c r="K30" s="35">
        <v>45717</v>
      </c>
      <c r="L30" s="4">
        <v>0.44673500993185761</v>
      </c>
    </row>
    <row r="31" spans="1:17" x14ac:dyDescent="0.3">
      <c r="K31" s="35" t="s">
        <v>131</v>
      </c>
      <c r="L31" s="4">
        <v>1.7109068885177958</v>
      </c>
    </row>
    <row r="39" spans="1:18" x14ac:dyDescent="0.3">
      <c r="K39" s="255" t="s">
        <v>141</v>
      </c>
      <c r="L39" s="255"/>
      <c r="M39" s="255"/>
      <c r="N39" s="255"/>
      <c r="O39" s="255"/>
      <c r="P39" s="255"/>
      <c r="Q39" s="255"/>
      <c r="R39" s="255"/>
    </row>
    <row r="40" spans="1:18" x14ac:dyDescent="0.3">
      <c r="K40" s="255"/>
      <c r="L40" s="255"/>
      <c r="M40" s="255"/>
      <c r="N40" s="255"/>
      <c r="O40" s="255"/>
      <c r="P40" s="255"/>
      <c r="Q40" s="255"/>
      <c r="R40" s="255"/>
    </row>
    <row r="41" spans="1:18" x14ac:dyDescent="0.3">
      <c r="K41" s="34" t="s">
        <v>132</v>
      </c>
      <c r="L41" t="s">
        <v>142</v>
      </c>
    </row>
    <row r="42" spans="1:18" x14ac:dyDescent="0.3">
      <c r="K42" s="35">
        <v>44256</v>
      </c>
      <c r="L42" s="4">
        <v>0.2148393668155181</v>
      </c>
    </row>
    <row r="43" spans="1:18" x14ac:dyDescent="0.3">
      <c r="K43" s="35">
        <v>44621</v>
      </c>
      <c r="L43" s="4">
        <v>0.17149797754144314</v>
      </c>
    </row>
    <row r="44" spans="1:18" ht="19.8" x14ac:dyDescent="0.3">
      <c r="A44" s="259" t="s">
        <v>136</v>
      </c>
      <c r="B44" s="259"/>
      <c r="C44" s="259"/>
      <c r="D44" s="259"/>
      <c r="E44" s="259"/>
      <c r="F44" s="259"/>
      <c r="G44" s="259"/>
      <c r="K44" s="35">
        <v>44986</v>
      </c>
      <c r="L44" s="4">
        <v>0.1869120980580409</v>
      </c>
    </row>
    <row r="45" spans="1:18" x14ac:dyDescent="0.3">
      <c r="A45" s="34" t="s">
        <v>132</v>
      </c>
      <c r="B45" t="s">
        <v>135</v>
      </c>
      <c r="K45" s="35">
        <v>45352</v>
      </c>
      <c r="L45" s="4">
        <v>0.20179888569985469</v>
      </c>
    </row>
    <row r="46" spans="1:18" x14ac:dyDescent="0.3">
      <c r="A46" s="35">
        <v>44256</v>
      </c>
      <c r="K46" s="35">
        <v>45717</v>
      </c>
      <c r="L46" s="4">
        <v>0.19028606110461807</v>
      </c>
    </row>
    <row r="47" spans="1:18" x14ac:dyDescent="0.3">
      <c r="A47" s="35">
        <v>44621</v>
      </c>
      <c r="B47" s="4">
        <v>-0.14096295036425957</v>
      </c>
      <c r="K47" s="35" t="s">
        <v>131</v>
      </c>
      <c r="L47" s="4">
        <v>0.9653343892194749</v>
      </c>
    </row>
    <row r="48" spans="1:18" x14ac:dyDescent="0.3">
      <c r="A48" s="35">
        <v>44986</v>
      </c>
      <c r="B48" s="4">
        <v>0.25674204113284327</v>
      </c>
    </row>
    <row r="49" spans="1:18" x14ac:dyDescent="0.3">
      <c r="A49" s="35">
        <v>45352</v>
      </c>
      <c r="B49" s="4">
        <v>0.11069099406913019</v>
      </c>
    </row>
    <row r="50" spans="1:18" x14ac:dyDescent="0.3">
      <c r="A50" s="35">
        <v>45717</v>
      </c>
      <c r="B50" s="4">
        <v>8.9302072682770125E-3</v>
      </c>
    </row>
    <row r="51" spans="1:18" x14ac:dyDescent="0.3">
      <c r="A51" s="35" t="s">
        <v>131</v>
      </c>
      <c r="B51" s="4">
        <v>0.23540029210599089</v>
      </c>
    </row>
    <row r="57" spans="1:18" x14ac:dyDescent="0.3">
      <c r="K57" s="255" t="s">
        <v>143</v>
      </c>
      <c r="L57" s="255"/>
      <c r="M57" s="255"/>
      <c r="N57" s="255"/>
      <c r="O57" s="255"/>
      <c r="P57" s="255"/>
      <c r="Q57" s="255"/>
      <c r="R57" s="255"/>
    </row>
    <row r="58" spans="1:18" x14ac:dyDescent="0.3">
      <c r="A58" s="255" t="s">
        <v>138</v>
      </c>
      <c r="B58" s="255"/>
      <c r="C58" s="255"/>
      <c r="D58" s="255"/>
      <c r="E58" s="255"/>
      <c r="F58" s="255"/>
      <c r="G58" s="255"/>
      <c r="K58" s="255"/>
      <c r="L58" s="255"/>
      <c r="M58" s="255"/>
      <c r="N58" s="255"/>
      <c r="O58" s="255"/>
      <c r="P58" s="255"/>
      <c r="Q58" s="255"/>
      <c r="R58" s="255"/>
    </row>
    <row r="59" spans="1:18" x14ac:dyDescent="0.3">
      <c r="A59" s="255"/>
      <c r="B59" s="255"/>
      <c r="C59" s="255"/>
      <c r="D59" s="255"/>
      <c r="E59" s="255"/>
      <c r="F59" s="255"/>
      <c r="G59" s="255"/>
      <c r="K59" s="34" t="s">
        <v>132</v>
      </c>
      <c r="L59" t="s">
        <v>144</v>
      </c>
    </row>
    <row r="60" spans="1:18" x14ac:dyDescent="0.3">
      <c r="A60" s="34" t="s">
        <v>132</v>
      </c>
      <c r="B60" t="s">
        <v>137</v>
      </c>
      <c r="K60" s="35">
        <v>44256</v>
      </c>
      <c r="L60" s="4">
        <v>0.14193743367534145</v>
      </c>
    </row>
    <row r="61" spans="1:18" x14ac:dyDescent="0.3">
      <c r="A61" s="35">
        <v>44256</v>
      </c>
      <c r="B61" s="4"/>
      <c r="K61" s="35">
        <v>44621</v>
      </c>
      <c r="L61" s="4">
        <v>0.10793519643809617</v>
      </c>
    </row>
    <row r="62" spans="1:18" x14ac:dyDescent="0.3">
      <c r="A62" s="35">
        <v>44621</v>
      </c>
      <c r="B62" s="4">
        <v>-0.18008636017271962</v>
      </c>
      <c r="K62" s="35">
        <v>44986</v>
      </c>
      <c r="L62" s="4">
        <v>0.11939290392041979</v>
      </c>
    </row>
    <row r="63" spans="1:18" x14ac:dyDescent="0.3">
      <c r="A63" s="35">
        <v>44986</v>
      </c>
      <c r="B63" s="4">
        <v>0.27561364655013132</v>
      </c>
      <c r="K63" s="35">
        <v>45352</v>
      </c>
      <c r="L63" s="4">
        <v>0.12777598547819924</v>
      </c>
    </row>
    <row r="64" spans="1:18" x14ac:dyDescent="0.3">
      <c r="A64" s="35">
        <v>45352</v>
      </c>
      <c r="B64" s="4">
        <v>0.10592618236871795</v>
      </c>
      <c r="K64" s="35">
        <v>45717</v>
      </c>
      <c r="L64" s="4">
        <v>0.12280892420135894</v>
      </c>
    </row>
    <row r="65" spans="1:18" x14ac:dyDescent="0.3">
      <c r="A65" s="35">
        <v>45717</v>
      </c>
      <c r="B65" s="4">
        <v>3.4144586531854919E-2</v>
      </c>
      <c r="K65" s="35" t="s">
        <v>131</v>
      </c>
      <c r="L65" s="4">
        <v>0.61985044371341558</v>
      </c>
    </row>
    <row r="66" spans="1:18" x14ac:dyDescent="0.3">
      <c r="A66" s="35" t="s">
        <v>131</v>
      </c>
      <c r="B66" s="4">
        <v>0.23559805527798458</v>
      </c>
    </row>
    <row r="73" spans="1:18" x14ac:dyDescent="0.3">
      <c r="K73" s="256" t="s">
        <v>145</v>
      </c>
      <c r="L73" s="256"/>
      <c r="M73" s="256"/>
      <c r="N73" s="256"/>
      <c r="O73" s="256"/>
      <c r="P73" s="256"/>
      <c r="Q73" s="256"/>
      <c r="R73" s="256"/>
    </row>
    <row r="74" spans="1:18" x14ac:dyDescent="0.3">
      <c r="K74" s="256"/>
      <c r="L74" s="256"/>
      <c r="M74" s="256"/>
      <c r="N74" s="256"/>
      <c r="O74" s="256"/>
      <c r="P74" s="256"/>
      <c r="Q74" s="256"/>
      <c r="R74" s="256"/>
    </row>
    <row r="75" spans="1:18" x14ac:dyDescent="0.3">
      <c r="K75" s="256"/>
      <c r="L75" s="256"/>
      <c r="M75" s="256"/>
      <c r="N75" s="256"/>
      <c r="O75" s="256"/>
      <c r="P75" s="256"/>
      <c r="Q75" s="256"/>
      <c r="R75" s="256"/>
    </row>
    <row r="77" spans="1:18" x14ac:dyDescent="0.3">
      <c r="K77" s="34" t="s">
        <v>132</v>
      </c>
      <c r="L77" t="s">
        <v>146</v>
      </c>
    </row>
    <row r="78" spans="1:18" x14ac:dyDescent="0.3">
      <c r="K78" s="35">
        <v>44256</v>
      </c>
      <c r="L78" s="5">
        <v>23.663751127141566</v>
      </c>
    </row>
    <row r="79" spans="1:18" x14ac:dyDescent="0.3">
      <c r="K79" s="35">
        <v>44621</v>
      </c>
      <c r="L79" s="5">
        <v>15.412017464827786</v>
      </c>
    </row>
    <row r="80" spans="1:18" x14ac:dyDescent="0.3">
      <c r="K80" s="35">
        <v>44986</v>
      </c>
      <c r="L80" s="5">
        <v>16.681608515671194</v>
      </c>
    </row>
    <row r="81" spans="11:12" x14ac:dyDescent="0.3">
      <c r="K81" s="35">
        <v>45352</v>
      </c>
      <c r="L81" s="5">
        <v>18.802195121951232</v>
      </c>
    </row>
    <row r="82" spans="11:12" x14ac:dyDescent="0.3">
      <c r="K82" s="35">
        <v>45717</v>
      </c>
      <c r="L82" s="5">
        <v>22.340778097982685</v>
      </c>
    </row>
    <row r="83" spans="11:12" x14ac:dyDescent="0.3">
      <c r="K83" s="35" t="s">
        <v>131</v>
      </c>
      <c r="L83" s="5">
        <v>96.900350327574472</v>
      </c>
    </row>
  </sheetData>
  <mergeCells count="9">
    <mergeCell ref="K23:Q24"/>
    <mergeCell ref="K39:R40"/>
    <mergeCell ref="K57:R58"/>
    <mergeCell ref="K73:R75"/>
    <mergeCell ref="A1:P3"/>
    <mergeCell ref="A11:F12"/>
    <mergeCell ref="A44:G44"/>
    <mergeCell ref="A24:G24"/>
    <mergeCell ref="A58:G59"/>
  </mergeCells>
  <pageMargins left="0.7" right="0.7" top="0.75" bottom="0.75" header="0.3" footer="0.3"/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 statement</vt:lpstr>
      <vt:lpstr>DASHBOARD</vt:lpstr>
      <vt:lpstr>BALANCE C</vt:lpstr>
      <vt:lpstr>Sheet8</vt:lpstr>
      <vt:lpstr>YOY GROWTH</vt:lpstr>
      <vt:lpstr>RATIOS</vt:lpstr>
      <vt:lpstr>Balance Sheet</vt:lpstr>
      <vt:lpstr>CFS</vt:lpstr>
      <vt:lpstr>one pager (2)</vt:lpstr>
      <vt:lpstr>one pager</vt:lpstr>
      <vt:lpstr>WORKIN SHEET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2026-01-31T21:07:33Z</dcterms:modified>
</cp:coreProperties>
</file>